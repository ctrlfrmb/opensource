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opensource\doc\develop\SAE J1979协议合集\"/>
    </mc:Choice>
  </mc:AlternateContent>
  <bookViews>
    <workbookView xWindow="0" yWindow="0" windowWidth="21600" windowHeight="11258" tabRatio="802" firstSheet="1" activeTab="1"/>
  </bookViews>
  <sheets>
    <sheet name="Definitions" sheetId="13" r:id="rId1"/>
    <sheet name="Annex E - Units and Scaling" sheetId="7" r:id="rId2"/>
  </sheets>
  <definedNames>
    <definedName name="_xlnm._FilterDatabase" localSheetId="1" hidden="1">'Annex E - Units and Scaling'!$A$2:$AV$558</definedName>
    <definedName name="_Ref135208233" localSheetId="0">Definitions!$D$46</definedName>
    <definedName name="_Ref61677636" localSheetId="0">Definitions!#REF!</definedName>
    <definedName name="_Toc90447598" localSheetId="0">Definitions!$A$3</definedName>
    <definedName name="_Toc90447599" localSheetId="0">Definitions!$A$11</definedName>
  </definedNames>
  <calcPr calcId="171027"/>
  <customWorkbookViews>
    <customWorkbookView name="Gangolf Feiter - Concepts &amp; Services Consulting - Persönliche Ansicht" guid="{5F452B13-A369-42A4-9CF3-F2A6C45D1442}" mergeInterval="0" personalView="1" maximized="1" windowWidth="1276" windowHeight="850" activeSheetId="7"/>
    <customWorkbookView name="pbaltusi - Personal View" guid="{85156661-CBE0-4E0C-831A-9FC01A4A4796}" mergeInterval="0" personalView="1" maximized="1" windowWidth="1276" windowHeight="852" activeSheetId="8"/>
  </customWorkbookViews>
</workbook>
</file>

<file path=xl/calcChain.xml><?xml version="1.0" encoding="utf-8"?>
<calcChain xmlns="http://schemas.openxmlformats.org/spreadsheetml/2006/main">
  <c r="E331" i="7" l="1"/>
  <c r="F331" i="7" s="1"/>
  <c r="E330" i="7"/>
  <c r="F330" i="7" s="1"/>
  <c r="E329" i="7"/>
  <c r="F329" i="7" s="1"/>
  <c r="E328" i="7"/>
  <c r="F328" i="7" s="1"/>
  <c r="E519" i="7" l="1"/>
  <c r="F519" i="7" s="1"/>
  <c r="H519" i="7" s="1"/>
  <c r="E518" i="7"/>
  <c r="F518" i="7" s="1"/>
  <c r="H518" i="7" s="1"/>
  <c r="E517" i="7"/>
  <c r="F517" i="7" s="1"/>
  <c r="H517" i="7" s="1"/>
  <c r="E516" i="7"/>
  <c r="F516" i="7" s="1"/>
  <c r="H516" i="7" s="1"/>
  <c r="E515" i="7"/>
  <c r="F515" i="7" s="1"/>
  <c r="H515" i="7" s="1"/>
  <c r="E409" i="7" l="1"/>
  <c r="H409" i="7" s="1"/>
  <c r="E408" i="7"/>
  <c r="H408" i="7" s="1"/>
  <c r="E407" i="7"/>
  <c r="H407" i="7" s="1"/>
  <c r="E406" i="7"/>
  <c r="H406" i="7" s="1"/>
  <c r="E405" i="7"/>
  <c r="H405" i="7" s="1"/>
  <c r="E421" i="7"/>
  <c r="F421" i="7" s="1"/>
  <c r="E420" i="7"/>
  <c r="F420" i="7" s="1"/>
  <c r="E419" i="7"/>
  <c r="F419" i="7" s="1"/>
  <c r="E418" i="7"/>
  <c r="F418" i="7" s="1"/>
  <c r="E417" i="7"/>
  <c r="F417" i="7" s="1"/>
  <c r="E427" i="7"/>
  <c r="F427" i="7" s="1"/>
  <c r="H427" i="7" s="1"/>
  <c r="E426" i="7"/>
  <c r="F426" i="7" s="1"/>
  <c r="H426" i="7" s="1"/>
  <c r="E425" i="7"/>
  <c r="F425" i="7" s="1"/>
  <c r="H425" i="7" s="1"/>
  <c r="E424" i="7"/>
  <c r="F424" i="7" s="1"/>
  <c r="H424" i="7" s="1"/>
  <c r="E423" i="7"/>
  <c r="F423" i="7" s="1"/>
  <c r="H423" i="7" s="1"/>
  <c r="E447" i="7"/>
  <c r="F447" i="7" s="1"/>
  <c r="E446" i="7"/>
  <c r="F446" i="7" s="1"/>
  <c r="E445" i="7"/>
  <c r="F445" i="7" s="1"/>
  <c r="E444" i="7"/>
  <c r="F444" i="7" s="1"/>
  <c r="E443" i="7"/>
  <c r="F443" i="7" s="1"/>
  <c r="E326" i="7"/>
  <c r="F326" i="7" s="1"/>
  <c r="H326" i="7" s="1"/>
  <c r="E325" i="7"/>
  <c r="F325" i="7" s="1"/>
  <c r="H325" i="7" s="1"/>
  <c r="E324" i="7"/>
  <c r="F324" i="7" s="1"/>
  <c r="H324" i="7" s="1"/>
  <c r="E323" i="7"/>
  <c r="F323" i="7" s="1"/>
  <c r="H323" i="7" s="1"/>
  <c r="E321" i="7"/>
  <c r="F321" i="7" s="1"/>
  <c r="H321" i="7" s="1"/>
  <c r="E320" i="7"/>
  <c r="F320" i="7" s="1"/>
  <c r="H320" i="7" s="1"/>
  <c r="E319" i="7"/>
  <c r="F319" i="7" s="1"/>
  <c r="H319" i="7" s="1"/>
  <c r="E318" i="7"/>
  <c r="F318" i="7" s="1"/>
  <c r="H318" i="7" s="1"/>
  <c r="E543" i="7"/>
  <c r="F543" i="7" s="1"/>
  <c r="H543" i="7" s="1"/>
  <c r="E542" i="7"/>
  <c r="F542" i="7" s="1"/>
  <c r="H542" i="7" s="1"/>
  <c r="E541" i="7"/>
  <c r="F541" i="7" s="1"/>
  <c r="H541" i="7" s="1"/>
  <c r="E540" i="7"/>
  <c r="F540" i="7" s="1"/>
  <c r="H540" i="7" s="1"/>
  <c r="E539" i="7"/>
  <c r="F539" i="7" s="1"/>
  <c r="H539" i="7" s="1"/>
  <c r="E537" i="7"/>
  <c r="F537" i="7" s="1"/>
  <c r="H537" i="7" s="1"/>
  <c r="E536" i="7"/>
  <c r="F536" i="7" s="1"/>
  <c r="H536" i="7" s="1"/>
  <c r="E535" i="7"/>
  <c r="F535" i="7" s="1"/>
  <c r="H535" i="7" s="1"/>
  <c r="E534" i="7"/>
  <c r="F534" i="7" s="1"/>
  <c r="H534" i="7" s="1"/>
  <c r="E533" i="7"/>
  <c r="F533" i="7" s="1"/>
  <c r="H533" i="7" s="1"/>
  <c r="E531" i="7"/>
  <c r="F531" i="7" s="1"/>
  <c r="H531" i="7" s="1"/>
  <c r="E530" i="7"/>
  <c r="F530" i="7" s="1"/>
  <c r="H530" i="7" s="1"/>
  <c r="E529" i="7"/>
  <c r="F529" i="7" s="1"/>
  <c r="H529" i="7" s="1"/>
  <c r="E528" i="7"/>
  <c r="F528" i="7" s="1"/>
  <c r="H528" i="7" s="1"/>
  <c r="E527" i="7"/>
  <c r="F527" i="7" s="1"/>
  <c r="H527" i="7" s="1"/>
  <c r="E525" i="7"/>
  <c r="F525" i="7" s="1"/>
  <c r="H525" i="7" s="1"/>
  <c r="E524" i="7"/>
  <c r="F524" i="7" s="1"/>
  <c r="H524" i="7" s="1"/>
  <c r="E523" i="7"/>
  <c r="F523" i="7" s="1"/>
  <c r="H523" i="7" s="1"/>
  <c r="E522" i="7"/>
  <c r="F522" i="7" s="1"/>
  <c r="H522" i="7" s="1"/>
  <c r="E521" i="7"/>
  <c r="F521" i="7" s="1"/>
  <c r="H521" i="7" s="1"/>
  <c r="E513" i="7"/>
  <c r="F513" i="7" s="1"/>
  <c r="E512" i="7"/>
  <c r="F512" i="7" s="1"/>
  <c r="E511" i="7"/>
  <c r="F511" i="7" s="1"/>
  <c r="E510" i="7"/>
  <c r="F510" i="7" s="1"/>
  <c r="E509" i="7"/>
  <c r="F509" i="7" s="1"/>
  <c r="E507" i="7"/>
  <c r="F507" i="7" s="1"/>
  <c r="H507" i="7" s="1"/>
  <c r="E506" i="7"/>
  <c r="F506" i="7" s="1"/>
  <c r="H506" i="7" s="1"/>
  <c r="E505" i="7"/>
  <c r="F505" i="7" s="1"/>
  <c r="H505" i="7" s="1"/>
  <c r="E504" i="7"/>
  <c r="F504" i="7" s="1"/>
  <c r="H504" i="7" s="1"/>
  <c r="E503" i="7"/>
  <c r="F503" i="7" s="1"/>
  <c r="H503" i="7" s="1"/>
  <c r="E501" i="7"/>
  <c r="F501" i="7" s="1"/>
  <c r="H501" i="7" s="1"/>
  <c r="E500" i="7"/>
  <c r="F500" i="7" s="1"/>
  <c r="H500" i="7" s="1"/>
  <c r="E499" i="7"/>
  <c r="F499" i="7" s="1"/>
  <c r="H499" i="7" s="1"/>
  <c r="E498" i="7"/>
  <c r="F498" i="7" s="1"/>
  <c r="H498" i="7" s="1"/>
  <c r="E497" i="7"/>
  <c r="F497" i="7" s="1"/>
  <c r="H497" i="7" s="1"/>
  <c r="E496" i="7"/>
  <c r="F496" i="7" s="1"/>
  <c r="H496" i="7" s="1"/>
  <c r="E495" i="7"/>
  <c r="F495" i="7" s="1"/>
  <c r="H495" i="7" s="1"/>
  <c r="E493" i="7"/>
  <c r="F493" i="7" s="1"/>
  <c r="E492" i="7"/>
  <c r="F492" i="7" s="1"/>
  <c r="E491" i="7"/>
  <c r="F491" i="7" s="1"/>
  <c r="E490" i="7"/>
  <c r="F490" i="7" s="1"/>
  <c r="E489" i="7"/>
  <c r="F489" i="7" s="1"/>
  <c r="E487" i="7"/>
  <c r="F487" i="7" s="1"/>
  <c r="E486" i="7"/>
  <c r="F486" i="7" s="1"/>
  <c r="E485" i="7"/>
  <c r="F485" i="7" s="1"/>
  <c r="E484" i="7"/>
  <c r="F484" i="7" s="1"/>
  <c r="E483" i="7"/>
  <c r="F483" i="7" s="1"/>
  <c r="E481" i="7"/>
  <c r="F481" i="7" s="1"/>
  <c r="H481" i="7" s="1"/>
  <c r="E480" i="7"/>
  <c r="F480" i="7" s="1"/>
  <c r="H480" i="7" s="1"/>
  <c r="E479" i="7"/>
  <c r="F479" i="7" s="1"/>
  <c r="H479" i="7" s="1"/>
  <c r="E478" i="7"/>
  <c r="F478" i="7" s="1"/>
  <c r="H478" i="7" s="1"/>
  <c r="E477" i="7"/>
  <c r="F477" i="7" s="1"/>
  <c r="H477" i="7" s="1"/>
  <c r="E475" i="7"/>
  <c r="F475" i="7" s="1"/>
  <c r="H475" i="7" s="1"/>
  <c r="E474" i="7"/>
  <c r="F474" i="7" s="1"/>
  <c r="H474" i="7" s="1"/>
  <c r="E473" i="7"/>
  <c r="F473" i="7" s="1"/>
  <c r="H473" i="7" s="1"/>
  <c r="E472" i="7"/>
  <c r="F472" i="7" s="1"/>
  <c r="H472" i="7" s="1"/>
  <c r="E471" i="7"/>
  <c r="F471" i="7" s="1"/>
  <c r="H471" i="7" s="1"/>
  <c r="E469" i="7"/>
  <c r="F469" i="7" s="1"/>
  <c r="E468" i="7"/>
  <c r="F468" i="7" s="1"/>
  <c r="E467" i="7"/>
  <c r="F467" i="7" s="1"/>
  <c r="E466" i="7"/>
  <c r="F466" i="7" s="1"/>
  <c r="E465" i="7"/>
  <c r="F465" i="7" s="1"/>
  <c r="E464" i="7"/>
  <c r="F464" i="7" s="1"/>
  <c r="E463" i="7"/>
  <c r="F463" i="7" s="1"/>
  <c r="E461" i="7"/>
  <c r="F461" i="7" s="1"/>
  <c r="E460" i="7"/>
  <c r="F460" i="7" s="1"/>
  <c r="E459" i="7"/>
  <c r="F459" i="7" s="1"/>
  <c r="E458" i="7"/>
  <c r="F458" i="7" s="1"/>
  <c r="E457" i="7"/>
  <c r="F457" i="7" s="1"/>
  <c r="E456" i="7"/>
  <c r="F456" i="7" s="1"/>
  <c r="E455" i="7"/>
  <c r="F455" i="7" s="1"/>
  <c r="E453" i="7"/>
  <c r="F453" i="7" s="1"/>
  <c r="H453" i="7" s="1"/>
  <c r="E452" i="7"/>
  <c r="F452" i="7" s="1"/>
  <c r="H452" i="7" s="1"/>
  <c r="E451" i="7"/>
  <c r="F451" i="7" s="1"/>
  <c r="H451" i="7" s="1"/>
  <c r="E450" i="7"/>
  <c r="F450" i="7" s="1"/>
  <c r="H450" i="7" s="1"/>
  <c r="E449" i="7"/>
  <c r="F449" i="7" s="1"/>
  <c r="H449" i="7" s="1"/>
  <c r="E441" i="7"/>
  <c r="F441" i="7" s="1"/>
  <c r="H441" i="7" s="1"/>
  <c r="E440" i="7"/>
  <c r="F440" i="7" s="1"/>
  <c r="H440" i="7" s="1"/>
  <c r="E439" i="7"/>
  <c r="F439" i="7" s="1"/>
  <c r="H439" i="7" s="1"/>
  <c r="E438" i="7"/>
  <c r="F438" i="7" s="1"/>
  <c r="H438" i="7" s="1"/>
  <c r="E437" i="7"/>
  <c r="F437" i="7" s="1"/>
  <c r="H437" i="7" s="1"/>
  <c r="E434" i="7"/>
  <c r="F434" i="7" s="1"/>
  <c r="H434" i="7" s="1"/>
  <c r="E430" i="7"/>
  <c r="F430" i="7" s="1"/>
  <c r="H430" i="7" s="1"/>
  <c r="E435" i="7"/>
  <c r="F435" i="7" s="1"/>
  <c r="H435" i="7" s="1"/>
  <c r="E433" i="7"/>
  <c r="F433" i="7" s="1"/>
  <c r="H433" i="7" s="1"/>
  <c r="E432" i="7"/>
  <c r="F432" i="7" s="1"/>
  <c r="H432" i="7" s="1"/>
  <c r="E431" i="7"/>
  <c r="F431" i="7" s="1"/>
  <c r="H431" i="7" s="1"/>
  <c r="E429" i="7"/>
  <c r="F429" i="7" s="1"/>
  <c r="H429" i="7" s="1"/>
  <c r="E415" i="7"/>
  <c r="H415" i="7" s="1"/>
  <c r="E414" i="7"/>
  <c r="H414" i="7" s="1"/>
  <c r="E413" i="7"/>
  <c r="H413" i="7" s="1"/>
  <c r="E412" i="7"/>
  <c r="F412" i="7" s="1"/>
  <c r="E411" i="7"/>
  <c r="F411" i="7" s="1"/>
  <c r="E403" i="7"/>
  <c r="H403" i="7" s="1"/>
  <c r="E402" i="7"/>
  <c r="H402" i="7" s="1"/>
  <c r="E401" i="7"/>
  <c r="H401" i="7" s="1"/>
  <c r="E400" i="7"/>
  <c r="F400" i="7" s="1"/>
  <c r="E399" i="7"/>
  <c r="H399" i="7" s="1"/>
  <c r="E397" i="7"/>
  <c r="F397" i="7" s="1"/>
  <c r="E396" i="7"/>
  <c r="F396" i="7" s="1"/>
  <c r="E395" i="7"/>
  <c r="F395" i="7" s="1"/>
  <c r="E394" i="7"/>
  <c r="F394" i="7" s="1"/>
  <c r="E393" i="7"/>
  <c r="F393" i="7" s="1"/>
  <c r="E391" i="7"/>
  <c r="F391" i="7" s="1"/>
  <c r="E390" i="7"/>
  <c r="F390" i="7" s="1"/>
  <c r="E389" i="7"/>
  <c r="H389" i="7" s="1"/>
  <c r="E388" i="7"/>
  <c r="H388" i="7" s="1"/>
  <c r="E387" i="7"/>
  <c r="F387" i="7" s="1"/>
  <c r="E385" i="7"/>
  <c r="H385" i="7" s="1"/>
  <c r="E384" i="7"/>
  <c r="H384" i="7" s="1"/>
  <c r="E383" i="7"/>
  <c r="F383" i="7" s="1"/>
  <c r="E382" i="7"/>
  <c r="H382" i="7" s="1"/>
  <c r="E381" i="7"/>
  <c r="H381" i="7" s="1"/>
  <c r="E379" i="7"/>
  <c r="H379" i="7" s="1"/>
  <c r="E378" i="7"/>
  <c r="H378" i="7" s="1"/>
  <c r="E377" i="7"/>
  <c r="H377" i="7" s="1"/>
  <c r="E376" i="7"/>
  <c r="H376" i="7" s="1"/>
  <c r="E375" i="7"/>
  <c r="F375" i="7" s="1"/>
  <c r="E373" i="7"/>
  <c r="F373" i="7" s="1"/>
  <c r="E372" i="7"/>
  <c r="F372" i="7" s="1"/>
  <c r="E371" i="7"/>
  <c r="F371" i="7" s="1"/>
  <c r="E370" i="7"/>
  <c r="F370" i="7" s="1"/>
  <c r="E369" i="7"/>
  <c r="F369" i="7" s="1"/>
  <c r="E367" i="7"/>
  <c r="F367" i="7" s="1"/>
  <c r="E366" i="7"/>
  <c r="F366" i="7" s="1"/>
  <c r="E365" i="7"/>
  <c r="F365" i="7" s="1"/>
  <c r="E364" i="7"/>
  <c r="F364" i="7" s="1"/>
  <c r="E363" i="7"/>
  <c r="F363" i="7" s="1"/>
  <c r="E361" i="7"/>
  <c r="F361" i="7" s="1"/>
  <c r="E360" i="7"/>
  <c r="F360" i="7" s="1"/>
  <c r="E359" i="7"/>
  <c r="F359" i="7" s="1"/>
  <c r="E358" i="7"/>
  <c r="F358" i="7" s="1"/>
  <c r="E357" i="7"/>
  <c r="F357" i="7" s="1"/>
  <c r="E355" i="7"/>
  <c r="F355" i="7" s="1"/>
  <c r="E354" i="7"/>
  <c r="F354" i="7" s="1"/>
  <c r="E353" i="7"/>
  <c r="F353" i="7" s="1"/>
  <c r="E352" i="7"/>
  <c r="F352" i="7" s="1"/>
  <c r="E351" i="7"/>
  <c r="F351" i="7" s="1"/>
  <c r="E349" i="7"/>
  <c r="F349" i="7" s="1"/>
  <c r="E348" i="7"/>
  <c r="F348" i="7" s="1"/>
  <c r="E347" i="7"/>
  <c r="F347" i="7" s="1"/>
  <c r="E346" i="7"/>
  <c r="F346" i="7" s="1"/>
  <c r="E345" i="7"/>
  <c r="F345" i="7" s="1"/>
  <c r="E343" i="7"/>
  <c r="F343" i="7" s="1"/>
  <c r="E342" i="7"/>
  <c r="F342" i="7" s="1"/>
  <c r="E341" i="7"/>
  <c r="F341" i="7" s="1"/>
  <c r="E340" i="7"/>
  <c r="F340" i="7" s="1"/>
  <c r="E339" i="7"/>
  <c r="F339" i="7" s="1"/>
  <c r="E334" i="7"/>
  <c r="F334" i="7" s="1"/>
  <c r="E333" i="7"/>
  <c r="F333" i="7" s="1"/>
  <c r="E337" i="7"/>
  <c r="F337" i="7" s="1"/>
  <c r="E336" i="7"/>
  <c r="F336" i="7" s="1"/>
  <c r="E335" i="7"/>
  <c r="F335" i="7" s="1"/>
  <c r="E316" i="7"/>
  <c r="F316" i="7" s="1"/>
  <c r="E315" i="7"/>
  <c r="F315" i="7" s="1"/>
  <c r="E314" i="7"/>
  <c r="F314" i="7" s="1"/>
  <c r="E313" i="7"/>
  <c r="F313" i="7" s="1"/>
  <c r="E311" i="7"/>
  <c r="F311" i="7" s="1"/>
  <c r="E310" i="7"/>
  <c r="F310" i="7" s="1"/>
  <c r="E308" i="7"/>
  <c r="F308" i="7" s="1"/>
  <c r="E307" i="7"/>
  <c r="F307" i="7" s="1"/>
  <c r="E306" i="7"/>
  <c r="F306" i="7" s="1"/>
  <c r="E305" i="7"/>
  <c r="F305" i="7" s="1"/>
  <c r="E303" i="7"/>
  <c r="F303" i="7" s="1"/>
  <c r="E302" i="7"/>
  <c r="F302" i="7" s="1"/>
  <c r="E301" i="7"/>
  <c r="F301" i="7" s="1"/>
  <c r="E300" i="7"/>
  <c r="F300" i="7" s="1"/>
  <c r="E298" i="7"/>
  <c r="F298" i="7" s="1"/>
  <c r="E297" i="7"/>
  <c r="F297" i="7" s="1"/>
  <c r="E296" i="7"/>
  <c r="F296" i="7" s="1"/>
  <c r="E295" i="7"/>
  <c r="F295" i="7" s="1"/>
  <c r="E293" i="7"/>
  <c r="F293" i="7" s="1"/>
  <c r="E292" i="7"/>
  <c r="F292" i="7" s="1"/>
  <c r="E291" i="7"/>
  <c r="F291" i="7" s="1"/>
  <c r="E290" i="7"/>
  <c r="F290" i="7" s="1"/>
  <c r="E288" i="7"/>
  <c r="F288" i="7" s="1"/>
  <c r="H288" i="7" s="1"/>
  <c r="E287" i="7"/>
  <c r="F287" i="7" s="1"/>
  <c r="H287" i="7" s="1"/>
  <c r="E286" i="7"/>
  <c r="F286" i="7" s="1"/>
  <c r="H286" i="7" s="1"/>
  <c r="E285" i="7"/>
  <c r="F285" i="7" s="1"/>
  <c r="H285" i="7" s="1"/>
  <c r="E283" i="7"/>
  <c r="F283" i="7" s="1"/>
  <c r="H283" i="7" s="1"/>
  <c r="E282" i="7"/>
  <c r="F282" i="7" s="1"/>
  <c r="H282" i="7" s="1"/>
  <c r="E281" i="7"/>
  <c r="F281" i="7" s="1"/>
  <c r="H281" i="7" s="1"/>
  <c r="E280" i="7"/>
  <c r="F280" i="7" s="1"/>
  <c r="H280" i="7" s="1"/>
  <c r="E277" i="7"/>
  <c r="F277" i="7" s="1"/>
  <c r="H277" i="7" s="1"/>
  <c r="E276" i="7"/>
  <c r="F276" i="7" s="1"/>
  <c r="H276" i="7" s="1"/>
  <c r="E275" i="7"/>
  <c r="F275" i="7" s="1"/>
  <c r="H275" i="7" s="1"/>
  <c r="E274" i="7"/>
  <c r="F274" i="7" s="1"/>
  <c r="H274" i="7" s="1"/>
  <c r="E278" i="7"/>
  <c r="F278" i="7" s="1"/>
  <c r="H278" i="7" s="1"/>
  <c r="E273" i="7"/>
  <c r="F273" i="7" s="1"/>
  <c r="H273" i="7" s="1"/>
  <c r="E272" i="7"/>
  <c r="F272" i="7" s="1"/>
  <c r="H272" i="7" s="1"/>
  <c r="E270" i="7"/>
  <c r="F270" i="7" s="1"/>
  <c r="H270" i="7" s="1"/>
  <c r="E269" i="7"/>
  <c r="F269" i="7" s="1"/>
  <c r="H269" i="7" s="1"/>
  <c r="E268" i="7"/>
  <c r="F268" i="7" s="1"/>
  <c r="H268" i="7" s="1"/>
  <c r="E267" i="7"/>
  <c r="F267" i="7" s="1"/>
  <c r="H267" i="7" s="1"/>
  <c r="E265" i="7"/>
  <c r="F265" i="7" s="1"/>
  <c r="H265" i="7" s="1"/>
  <c r="E264" i="7"/>
  <c r="F264" i="7" s="1"/>
  <c r="H264" i="7" s="1"/>
  <c r="E263" i="7"/>
  <c r="F263" i="7" s="1"/>
  <c r="H263" i="7" s="1"/>
  <c r="E262" i="7"/>
  <c r="F262" i="7" s="1"/>
  <c r="H262" i="7" s="1"/>
  <c r="E260" i="7"/>
  <c r="F260" i="7" s="1"/>
  <c r="H260" i="7" s="1"/>
  <c r="E259" i="7"/>
  <c r="F259" i="7" s="1"/>
  <c r="H259" i="7" s="1"/>
  <c r="E258" i="7"/>
  <c r="F258" i="7" s="1"/>
  <c r="H258" i="7" s="1"/>
  <c r="E257" i="7"/>
  <c r="F257" i="7" s="1"/>
  <c r="H257" i="7" s="1"/>
  <c r="E255" i="7"/>
  <c r="F255" i="7" s="1"/>
  <c r="E254" i="7"/>
  <c r="F254" i="7" s="1"/>
  <c r="E253" i="7"/>
  <c r="F253" i="7" s="1"/>
  <c r="E252" i="7"/>
  <c r="F252" i="7" s="1"/>
  <c r="E250" i="7"/>
  <c r="F250" i="7" s="1"/>
  <c r="E249" i="7"/>
  <c r="F249" i="7" s="1"/>
  <c r="E248" i="7"/>
  <c r="F248" i="7" s="1"/>
  <c r="E247" i="7"/>
  <c r="F247" i="7" s="1"/>
  <c r="E245" i="7"/>
  <c r="F245" i="7" s="1"/>
  <c r="E244" i="7"/>
  <c r="F244" i="7" s="1"/>
  <c r="E243" i="7"/>
  <c r="F243" i="7" s="1"/>
  <c r="E242" i="7"/>
  <c r="F242" i="7" s="1"/>
  <c r="E238" i="7"/>
  <c r="F238" i="7" s="1"/>
  <c r="H238" i="7" s="1"/>
  <c r="E239" i="7"/>
  <c r="F239" i="7" s="1"/>
  <c r="H239" i="7" s="1"/>
  <c r="E240" i="7"/>
  <c r="F240" i="7" s="1"/>
  <c r="H240" i="7" s="1"/>
  <c r="E237" i="7"/>
  <c r="F237" i="7" s="1"/>
  <c r="H237" i="7" s="1"/>
  <c r="E235" i="7"/>
  <c r="F235" i="7" s="1"/>
  <c r="E234" i="7"/>
  <c r="F234" i="7" s="1"/>
  <c r="E233" i="7"/>
  <c r="F233" i="7" s="1"/>
  <c r="E232" i="7"/>
  <c r="F232" i="7" s="1"/>
  <c r="E230" i="7"/>
  <c r="F230" i="7" s="1"/>
  <c r="H230" i="7" s="1"/>
  <c r="E229" i="7"/>
  <c r="F229" i="7" s="1"/>
  <c r="H229" i="7" s="1"/>
  <c r="E228" i="7"/>
  <c r="F228" i="7" s="1"/>
  <c r="H228" i="7" s="1"/>
  <c r="E227" i="7"/>
  <c r="F227" i="7" s="1"/>
  <c r="H227" i="7" s="1"/>
  <c r="E223" i="7"/>
  <c r="F223" i="7" s="1"/>
  <c r="H223" i="7" s="1"/>
  <c r="E224" i="7"/>
  <c r="F224" i="7" s="1"/>
  <c r="H224" i="7" s="1"/>
  <c r="E225" i="7"/>
  <c r="F225" i="7" s="1"/>
  <c r="H225" i="7" s="1"/>
  <c r="E222" i="7"/>
  <c r="F222" i="7" s="1"/>
  <c r="H222" i="7" s="1"/>
  <c r="E220" i="7"/>
  <c r="E219" i="7"/>
  <c r="E217" i="7"/>
  <c r="F217" i="7" s="1"/>
  <c r="E216" i="7"/>
  <c r="F216" i="7" s="1"/>
  <c r="E215" i="7"/>
  <c r="F215" i="7" s="1"/>
  <c r="E214" i="7"/>
  <c r="F214" i="7" s="1"/>
  <c r="E212" i="7"/>
  <c r="F212" i="7" s="1"/>
  <c r="E211" i="7"/>
  <c r="F211" i="7" s="1"/>
  <c r="E210" i="7"/>
  <c r="F210" i="7" s="1"/>
  <c r="E209" i="7"/>
  <c r="F209" i="7" s="1"/>
  <c r="E207" i="7"/>
  <c r="F207" i="7" s="1"/>
  <c r="E206" i="7"/>
  <c r="F206" i="7" s="1"/>
  <c r="E205" i="7"/>
  <c r="F205" i="7" s="1"/>
  <c r="E204" i="7"/>
  <c r="F204" i="7" s="1"/>
  <c r="E200" i="7"/>
  <c r="F200" i="7" s="1"/>
  <c r="H200" i="7" s="1"/>
  <c r="E201" i="7"/>
  <c r="F201" i="7" s="1"/>
  <c r="H201" i="7" s="1"/>
  <c r="E202" i="7"/>
  <c r="F202" i="7" s="1"/>
  <c r="H202" i="7" s="1"/>
  <c r="E199" i="7"/>
  <c r="F199" i="7" s="1"/>
  <c r="H199" i="7" s="1"/>
  <c r="E193" i="7"/>
  <c r="F193" i="7" s="1"/>
  <c r="H193" i="7" s="1"/>
  <c r="E194" i="7"/>
  <c r="F194" i="7" s="1"/>
  <c r="H194" i="7" s="1"/>
  <c r="E195" i="7"/>
  <c r="F195" i="7" s="1"/>
  <c r="H195" i="7" s="1"/>
  <c r="E196" i="7"/>
  <c r="F196" i="7" s="1"/>
  <c r="H196" i="7" s="1"/>
  <c r="E197" i="7"/>
  <c r="F197" i="7" s="1"/>
  <c r="H197" i="7" s="1"/>
  <c r="E192" i="7"/>
  <c r="F192" i="7" s="1"/>
  <c r="H192" i="7" s="1"/>
  <c r="E190" i="7"/>
  <c r="F190" i="7" s="1"/>
  <c r="H190" i="7" s="1"/>
  <c r="E189" i="7"/>
  <c r="F189" i="7" s="1"/>
  <c r="H189" i="7" s="1"/>
  <c r="E188" i="7"/>
  <c r="F188" i="7" s="1"/>
  <c r="H188" i="7" s="1"/>
  <c r="E187" i="7"/>
  <c r="F187" i="7" s="1"/>
  <c r="H187" i="7" s="1"/>
  <c r="E183" i="7"/>
  <c r="F183" i="7" s="1"/>
  <c r="H183" i="7" s="1"/>
  <c r="E184" i="7"/>
  <c r="F184" i="7" s="1"/>
  <c r="H184" i="7" s="1"/>
  <c r="E185" i="7"/>
  <c r="F185" i="7" s="1"/>
  <c r="H185" i="7" s="1"/>
  <c r="E182" i="7"/>
  <c r="F182" i="7" s="1"/>
  <c r="H182" i="7" s="1"/>
  <c r="E178" i="7"/>
  <c r="F178" i="7" s="1"/>
  <c r="H178" i="7" s="1"/>
  <c r="E179" i="7"/>
  <c r="F179" i="7" s="1"/>
  <c r="H179" i="7" s="1"/>
  <c r="E180" i="7"/>
  <c r="F180" i="7" s="1"/>
  <c r="H180" i="7" s="1"/>
  <c r="E177" i="7"/>
  <c r="F177" i="7" s="1"/>
  <c r="H177" i="7" s="1"/>
  <c r="E175" i="7"/>
  <c r="F175" i="7" s="1"/>
  <c r="H175" i="7" s="1"/>
  <c r="E174" i="7"/>
  <c r="F174" i="7" s="1"/>
  <c r="H174" i="7" s="1"/>
  <c r="E173" i="7"/>
  <c r="F173" i="7" s="1"/>
  <c r="H173" i="7" s="1"/>
  <c r="E172" i="7"/>
  <c r="F172" i="7" s="1"/>
  <c r="H172" i="7" s="1"/>
  <c r="E170" i="7"/>
  <c r="F170" i="7" s="1"/>
  <c r="E169" i="7"/>
  <c r="F169" i="7" s="1"/>
  <c r="E167" i="7"/>
  <c r="F167" i="7" s="1"/>
  <c r="H167" i="7" s="1"/>
  <c r="E166" i="7"/>
  <c r="F166" i="7" s="1"/>
  <c r="H166" i="7" s="1"/>
  <c r="E165" i="7"/>
  <c r="F165" i="7" s="1"/>
  <c r="H165" i="7" s="1"/>
  <c r="E164" i="7"/>
  <c r="F164" i="7" s="1"/>
  <c r="H164" i="7" s="1"/>
  <c r="E162" i="7"/>
  <c r="F162" i="7" s="1"/>
  <c r="E161" i="7"/>
  <c r="F161" i="7" s="1"/>
  <c r="E160" i="7"/>
  <c r="F160" i="7" s="1"/>
  <c r="E159" i="7"/>
  <c r="F159" i="7" s="1"/>
  <c r="E157" i="7"/>
  <c r="F157" i="7" s="1"/>
  <c r="H157" i="7" s="1"/>
  <c r="E156" i="7"/>
  <c r="F156" i="7" s="1"/>
  <c r="H156" i="7" s="1"/>
  <c r="E155" i="7"/>
  <c r="F155" i="7" s="1"/>
  <c r="H155" i="7" s="1"/>
  <c r="E154" i="7"/>
  <c r="F154" i="7" s="1"/>
  <c r="H154" i="7" s="1"/>
  <c r="E152" i="7"/>
  <c r="F152" i="7" s="1"/>
  <c r="E151" i="7"/>
  <c r="F151" i="7" s="1"/>
  <c r="E150" i="7"/>
  <c r="F150" i="7" s="1"/>
  <c r="E149" i="7"/>
  <c r="F149" i="7" s="1"/>
  <c r="E147" i="7"/>
  <c r="F147" i="7" s="1"/>
  <c r="E146" i="7"/>
  <c r="F146" i="7" s="1"/>
  <c r="E145" i="7"/>
  <c r="F145" i="7" s="1"/>
  <c r="E144" i="7"/>
  <c r="F144" i="7" s="1"/>
  <c r="E143" i="7"/>
  <c r="F143" i="7" s="1"/>
  <c r="E141" i="7"/>
  <c r="F141" i="7" s="1"/>
  <c r="E140" i="7"/>
  <c r="F140" i="7" s="1"/>
  <c r="E139" i="7"/>
  <c r="F139" i="7" s="1"/>
  <c r="E138" i="7"/>
  <c r="F138" i="7" s="1"/>
  <c r="E136" i="7"/>
  <c r="F136" i="7" s="1"/>
  <c r="E135" i="7"/>
  <c r="F135" i="7" s="1"/>
  <c r="E134" i="7"/>
  <c r="F134" i="7" s="1"/>
  <c r="E133" i="7"/>
  <c r="F133" i="7" s="1"/>
  <c r="E131" i="7"/>
  <c r="F131" i="7" s="1"/>
  <c r="E130" i="7"/>
  <c r="F130" i="7" s="1"/>
  <c r="E129" i="7"/>
  <c r="F129" i="7" s="1"/>
  <c r="E128" i="7"/>
  <c r="F128" i="7" s="1"/>
  <c r="E126" i="7"/>
  <c r="F126" i="7" s="1"/>
  <c r="H126" i="7" s="1"/>
  <c r="E125" i="7"/>
  <c r="F125" i="7" s="1"/>
  <c r="H125" i="7" s="1"/>
  <c r="E124" i="7"/>
  <c r="F124" i="7" s="1"/>
  <c r="H124" i="7" s="1"/>
  <c r="E123" i="7"/>
  <c r="F123" i="7" s="1"/>
  <c r="H123" i="7" s="1"/>
  <c r="E121" i="7"/>
  <c r="F121" i="7" s="1"/>
  <c r="H121" i="7" s="1"/>
  <c r="E120" i="7"/>
  <c r="F120" i="7" s="1"/>
  <c r="H120" i="7" s="1"/>
  <c r="E119" i="7"/>
  <c r="F119" i="7" s="1"/>
  <c r="H119" i="7" s="1"/>
  <c r="E118" i="7"/>
  <c r="F118" i="7" s="1"/>
  <c r="H118" i="7" s="1"/>
  <c r="E116" i="7"/>
  <c r="F116" i="7" s="1"/>
  <c r="H116" i="7" s="1"/>
  <c r="E115" i="7"/>
  <c r="F115" i="7" s="1"/>
  <c r="H115" i="7" s="1"/>
  <c r="E114" i="7"/>
  <c r="F114" i="7" s="1"/>
  <c r="H114" i="7" s="1"/>
  <c r="E113" i="7"/>
  <c r="F113" i="7" s="1"/>
  <c r="H113" i="7" s="1"/>
  <c r="E111" i="7"/>
  <c r="F111" i="7" s="1"/>
  <c r="H111" i="7" s="1"/>
  <c r="E110" i="7"/>
  <c r="F110" i="7" s="1"/>
  <c r="H110" i="7" s="1"/>
  <c r="E109" i="7"/>
  <c r="F109" i="7" s="1"/>
  <c r="H109" i="7" s="1"/>
  <c r="E108" i="7"/>
  <c r="F108" i="7" s="1"/>
  <c r="H108" i="7" s="1"/>
  <c r="E106" i="7"/>
  <c r="F106" i="7" s="1"/>
  <c r="H106" i="7" s="1"/>
  <c r="E105" i="7"/>
  <c r="F105" i="7" s="1"/>
  <c r="H105" i="7" s="1"/>
  <c r="E104" i="7"/>
  <c r="F104" i="7" s="1"/>
  <c r="H104" i="7" s="1"/>
  <c r="E103" i="7"/>
  <c r="F103" i="7" s="1"/>
  <c r="H103" i="7" s="1"/>
  <c r="E101" i="7"/>
  <c r="F101" i="7" s="1"/>
  <c r="H101" i="7" s="1"/>
  <c r="E100" i="7"/>
  <c r="F100" i="7" s="1"/>
  <c r="H100" i="7" s="1"/>
  <c r="E99" i="7"/>
  <c r="F99" i="7" s="1"/>
  <c r="H99" i="7" s="1"/>
  <c r="E98" i="7"/>
  <c r="F98" i="7" s="1"/>
  <c r="H98" i="7" s="1"/>
  <c r="E97" i="7"/>
  <c r="F97" i="7" s="1"/>
  <c r="H97" i="7" s="1"/>
  <c r="E95" i="7"/>
  <c r="F95" i="7" s="1"/>
  <c r="E94" i="7"/>
  <c r="F94" i="7" s="1"/>
  <c r="E93" i="7"/>
  <c r="F93" i="7" s="1"/>
  <c r="E92" i="7"/>
  <c r="F92" i="7" s="1"/>
  <c r="E90" i="7"/>
  <c r="F90" i="7" s="1"/>
  <c r="H90" i="7" s="1"/>
  <c r="E89" i="7"/>
  <c r="F89" i="7" s="1"/>
  <c r="H89" i="7" s="1"/>
  <c r="E88" i="7"/>
  <c r="F88" i="7" s="1"/>
  <c r="H88" i="7" s="1"/>
  <c r="E87" i="7"/>
  <c r="F87" i="7" s="1"/>
  <c r="H87" i="7" s="1"/>
  <c r="E85" i="7"/>
  <c r="F85" i="7" s="1"/>
  <c r="H85" i="7" s="1"/>
  <c r="E84" i="7"/>
  <c r="F84" i="7" s="1"/>
  <c r="H84" i="7" s="1"/>
  <c r="E83" i="7"/>
  <c r="F83" i="7" s="1"/>
  <c r="H83" i="7" s="1"/>
  <c r="E82" i="7"/>
  <c r="F82" i="7" s="1"/>
  <c r="H82" i="7" s="1"/>
  <c r="E80" i="7"/>
  <c r="F80" i="7" s="1"/>
  <c r="E79" i="7"/>
  <c r="F79" i="7" s="1"/>
  <c r="E78" i="7"/>
  <c r="F78" i="7" s="1"/>
  <c r="E77" i="7"/>
  <c r="F77" i="7" s="1"/>
  <c r="E75" i="7"/>
  <c r="F75" i="7" s="1"/>
  <c r="E74" i="7"/>
  <c r="F74" i="7" s="1"/>
  <c r="E73" i="7"/>
  <c r="F73" i="7" s="1"/>
  <c r="E72" i="7"/>
  <c r="F72" i="7" s="1"/>
  <c r="E70" i="7"/>
  <c r="F70" i="7" s="1"/>
  <c r="E69" i="7"/>
  <c r="F69" i="7" s="1"/>
  <c r="E68" i="7"/>
  <c r="F68" i="7" s="1"/>
  <c r="E67" i="7"/>
  <c r="F67" i="7" s="1"/>
  <c r="E65" i="7"/>
  <c r="F65" i="7" s="1"/>
  <c r="E64" i="7"/>
  <c r="F64" i="7" s="1"/>
  <c r="E63" i="7"/>
  <c r="F63" i="7" s="1"/>
  <c r="E62" i="7"/>
  <c r="F62" i="7" s="1"/>
  <c r="E60" i="7"/>
  <c r="F60" i="7" s="1"/>
  <c r="E59" i="7"/>
  <c r="F59" i="7" s="1"/>
  <c r="E58" i="7"/>
  <c r="F58" i="7" s="1"/>
  <c r="E57" i="7"/>
  <c r="F57" i="7" s="1"/>
  <c r="E55" i="7"/>
  <c r="F55" i="7" s="1"/>
  <c r="E54" i="7"/>
  <c r="F54" i="7" s="1"/>
  <c r="E53" i="7"/>
  <c r="F53" i="7" s="1"/>
  <c r="E52" i="7"/>
  <c r="F52" i="7" s="1"/>
  <c r="E50" i="7"/>
  <c r="F50" i="7" s="1"/>
  <c r="H50" i="7" s="1"/>
  <c r="E49" i="7"/>
  <c r="F49" i="7" s="1"/>
  <c r="H49" i="7" s="1"/>
  <c r="E48" i="7"/>
  <c r="F48" i="7" s="1"/>
  <c r="H48" i="7" s="1"/>
  <c r="E47" i="7"/>
  <c r="F47" i="7" s="1"/>
  <c r="H47" i="7" s="1"/>
  <c r="E45" i="7"/>
  <c r="F45" i="7" s="1"/>
  <c r="H45" i="7" s="1"/>
  <c r="E44" i="7"/>
  <c r="F44" i="7" s="1"/>
  <c r="H44" i="7" s="1"/>
  <c r="E43" i="7"/>
  <c r="F43" i="7" s="1"/>
  <c r="H43" i="7" s="1"/>
  <c r="E42" i="7"/>
  <c r="F42" i="7" s="1"/>
  <c r="H42" i="7" s="1"/>
  <c r="E40" i="7"/>
  <c r="F40" i="7" s="1"/>
  <c r="H40" i="7" s="1"/>
  <c r="E39" i="7"/>
  <c r="F39" i="7" s="1"/>
  <c r="H39" i="7" s="1"/>
  <c r="E38" i="7"/>
  <c r="F38" i="7" s="1"/>
  <c r="H38" i="7" s="1"/>
  <c r="E37" i="7"/>
  <c r="F37" i="7" s="1"/>
  <c r="H37" i="7" s="1"/>
  <c r="E35" i="7"/>
  <c r="F35" i="7" s="1"/>
  <c r="H35" i="7" s="1"/>
  <c r="E34" i="7"/>
  <c r="F34" i="7" s="1"/>
  <c r="H34" i="7" s="1"/>
  <c r="E33" i="7"/>
  <c r="F33" i="7" s="1"/>
  <c r="H33" i="7" s="1"/>
  <c r="E32" i="7"/>
  <c r="F32" i="7" s="1"/>
  <c r="H32" i="7" s="1"/>
  <c r="E30" i="7"/>
  <c r="F30" i="7" s="1"/>
  <c r="H30" i="7" s="1"/>
  <c r="E29" i="7"/>
  <c r="F29" i="7" s="1"/>
  <c r="H29" i="7" s="1"/>
  <c r="E28" i="7"/>
  <c r="F28" i="7" s="1"/>
  <c r="H28" i="7" s="1"/>
  <c r="E27" i="7"/>
  <c r="F27" i="7" s="1"/>
  <c r="H27" i="7" s="1"/>
  <c r="E25" i="7"/>
  <c r="F25" i="7" s="1"/>
  <c r="E24" i="7"/>
  <c r="F24" i="7" s="1"/>
  <c r="E23" i="7"/>
  <c r="F23" i="7" s="1"/>
  <c r="E22" i="7"/>
  <c r="F22" i="7" s="1"/>
  <c r="E20" i="7"/>
  <c r="F20" i="7" s="1"/>
  <c r="E19" i="7"/>
  <c r="F19" i="7" s="1"/>
  <c r="E17" i="7"/>
  <c r="F17" i="7" s="1"/>
  <c r="E16" i="7"/>
  <c r="F16" i="7" s="1"/>
  <c r="E14" i="7"/>
  <c r="F14" i="7" s="1"/>
  <c r="E13" i="7"/>
  <c r="F13" i="7" s="1"/>
  <c r="E11" i="7"/>
  <c r="F11" i="7" s="1"/>
  <c r="E10" i="7"/>
  <c r="F10" i="7" s="1"/>
  <c r="E8" i="7"/>
  <c r="F8" i="7" s="1"/>
  <c r="E7" i="7"/>
  <c r="F7" i="7" s="1"/>
  <c r="E5" i="7"/>
  <c r="F5" i="7" s="1"/>
  <c r="E4" i="7"/>
  <c r="F4" i="7" s="1"/>
  <c r="F399" i="7" l="1"/>
  <c r="F402" i="7"/>
  <c r="F389" i="7"/>
  <c r="H391" i="7"/>
  <c r="F377" i="7"/>
  <c r="F401" i="7"/>
  <c r="H411" i="7"/>
  <c r="F415" i="7"/>
  <c r="F381" i="7"/>
  <c r="F414" i="7"/>
  <c r="F384" i="7"/>
  <c r="F403" i="7"/>
  <c r="H390" i="7"/>
  <c r="H400" i="7"/>
  <c r="F385" i="7"/>
  <c r="F382" i="7"/>
  <c r="F413" i="7"/>
  <c r="H412" i="7"/>
  <c r="H383" i="7"/>
  <c r="H387" i="7"/>
  <c r="F409" i="7"/>
  <c r="F388" i="7"/>
  <c r="F378" i="7"/>
  <c r="H375" i="7"/>
  <c r="F407" i="7"/>
  <c r="F379" i="7"/>
  <c r="F376" i="7"/>
  <c r="F406" i="7"/>
  <c r="F408" i="7"/>
  <c r="F405" i="7"/>
</calcChain>
</file>

<file path=xl/sharedStrings.xml><?xml version="1.0" encoding="utf-8"?>
<sst xmlns="http://schemas.openxmlformats.org/spreadsheetml/2006/main" count="2620" uniqueCount="590">
  <si>
    <t>Volume</t>
  </si>
  <si>
    <t>0.001 L per bit unsigned</t>
  </si>
  <si>
    <t>L</t>
  </si>
  <si>
    <t>Length</t>
  </si>
  <si>
    <t>0.000030517578 inch per bit unsigned</t>
  </si>
  <si>
    <t>1 inch = 25.4 mm</t>
  </si>
  <si>
    <t>inch</t>
  </si>
  <si>
    <t>0010</t>
  </si>
  <si>
    <t>0011</t>
  </si>
  <si>
    <t>xx.xxxxxxx</t>
  </si>
  <si>
    <t>mm</t>
  </si>
  <si>
    <t>0.00024414 per bit unsigned</t>
  </si>
  <si>
    <t>1000</t>
  </si>
  <si>
    <t>E5BE</t>
  </si>
  <si>
    <t>xx.xxxxxxxx</t>
  </si>
  <si>
    <t>0.000244140625</t>
  </si>
  <si>
    <t>0.00003051757813</t>
  </si>
  <si>
    <t>1 minute per bit unsigned</t>
  </si>
  <si>
    <t>24 h = 1 day</t>
  </si>
  <si>
    <t>min</t>
  </si>
  <si>
    <t>xx days, xx h, xx min</t>
  </si>
  <si>
    <t>0 days, 0 h, 0 min</t>
  </si>
  <si>
    <t>0 days, 1 h, 0 min</t>
  </si>
  <si>
    <t>2 days, 12 h, 0 min</t>
  </si>
  <si>
    <t>45 days, 12 h, 15 min</t>
  </si>
  <si>
    <t>0x92</t>
  </si>
  <si>
    <t>Raw Value</t>
  </si>
  <si>
    <t>0x8E</t>
  </si>
  <si>
    <t>0x8F</t>
  </si>
  <si>
    <t>0x96</t>
  </si>
  <si>
    <t>0x97</t>
  </si>
  <si>
    <t>0x9C</t>
  </si>
  <si>
    <t>0x9D</t>
  </si>
  <si>
    <t>Unit and Scaling definition for SAE J1979 / ISO 15031-5 Service 0x06</t>
  </si>
  <si>
    <t>Current</t>
  </si>
  <si>
    <t>0xAE</t>
  </si>
  <si>
    <t>0xAF</t>
  </si>
  <si>
    <t>0000</t>
  </si>
  <si>
    <t>FFFF</t>
  </si>
  <si>
    <t>xxxxx</t>
  </si>
  <si>
    <t>xxxx.x</t>
  </si>
  <si>
    <t>xxx.xx</t>
  </si>
  <si>
    <t>xx.xxx</t>
  </si>
  <si>
    <t>Speed</t>
  </si>
  <si>
    <t>Voltage</t>
  </si>
  <si>
    <t>rpm</t>
  </si>
  <si>
    <t>Unit and Scaling ID</t>
  </si>
  <si>
    <t>Value (hex.)</t>
  </si>
  <si>
    <t>Value (dec.)</t>
  </si>
  <si>
    <t xml:space="preserve">         External Test Equipment Display</t>
  </si>
  <si>
    <t>2 bytes, unsigned</t>
  </si>
  <si>
    <t>0.1</t>
  </si>
  <si>
    <t>0.01</t>
  </si>
  <si>
    <t>0.001</t>
  </si>
  <si>
    <t>0.000030517578</t>
  </si>
  <si>
    <t>x.xxxxxxx</t>
  </si>
  <si>
    <t>0.000305</t>
  </si>
  <si>
    <t>xx.xxxxxx</t>
  </si>
  <si>
    <t>Rotational frequency</t>
  </si>
  <si>
    <t>0.25</t>
  </si>
  <si>
    <t>xxxxx.xx</t>
  </si>
  <si>
    <t>km/h</t>
  </si>
  <si>
    <t>Conversion km/h -&gt; mph:</t>
  </si>
  <si>
    <t>1 km/h = 0.62137 mph</t>
  </si>
  <si>
    <t>0.1220703125</t>
  </si>
  <si>
    <t>xxxx.xxx</t>
  </si>
  <si>
    <t>x.xxxxxx</t>
  </si>
  <si>
    <t>Conversion mV -&gt; V:</t>
  </si>
  <si>
    <t>1000 mV = 1 V</t>
  </si>
  <si>
    <t>.001</t>
  </si>
  <si>
    <t>.01</t>
  </si>
  <si>
    <t>0.00390625</t>
  </si>
  <si>
    <t>xxx.xxxxxxxx</t>
  </si>
  <si>
    <t>8000</t>
  </si>
  <si>
    <t>Conversion mA -&gt; A:</t>
  </si>
  <si>
    <t>1000 mA = 1 A</t>
  </si>
  <si>
    <t>Time</t>
  </si>
  <si>
    <t>x min, xx s</t>
  </si>
  <si>
    <t>0, 0</t>
  </si>
  <si>
    <t>min, s</t>
  </si>
  <si>
    <t>Conversion s -&gt; min -&gt; h:</t>
  </si>
  <si>
    <t>0, 33</t>
  </si>
  <si>
    <t>60 s = 1 min</t>
  </si>
  <si>
    <t>EA60</t>
  </si>
  <si>
    <t>1, 0</t>
  </si>
  <si>
    <t>60 min = 1 h</t>
  </si>
  <si>
    <t>1, 6</t>
  </si>
  <si>
    <t>100</t>
  </si>
  <si>
    <t>x h, x min, xx s</t>
  </si>
  <si>
    <t>0, 0, 0</t>
  </si>
  <si>
    <t>0, 54, 37</t>
  </si>
  <si>
    <t>1, 40, 0</t>
  </si>
  <si>
    <t>1, 49, 13</t>
  </si>
  <si>
    <t>003C</t>
  </si>
  <si>
    <t>0, 1, 0</t>
  </si>
  <si>
    <t>0E10</t>
  </si>
  <si>
    <t>1, 0, 0</t>
  </si>
  <si>
    <t>18, 12, 15</t>
  </si>
  <si>
    <t>Resistance</t>
  </si>
  <si>
    <t>Conversion mOhm -&gt; Ohm:</t>
  </si>
  <si>
    <t>1000 mOhm = 1 Ohm</t>
  </si>
  <si>
    <t>kOhm</t>
  </si>
  <si>
    <t>Conversion Ohm -&gt; kOhm:</t>
  </si>
  <si>
    <t>1000 Ohm = 1 kOhm</t>
  </si>
  <si>
    <t>Temperature</t>
  </si>
  <si>
    <r>
      <t>o</t>
    </r>
    <r>
      <rPr>
        <sz val="8"/>
        <rFont val="Arial"/>
        <family val="2"/>
      </rPr>
      <t>C</t>
    </r>
  </si>
  <si>
    <r>
      <t>o</t>
    </r>
    <r>
      <rPr>
        <sz val="8"/>
        <rFont val="Arial"/>
        <family val="2"/>
      </rPr>
      <t>F</t>
    </r>
  </si>
  <si>
    <t>00DC</t>
  </si>
  <si>
    <t>Conversion  C -&gt;  F:</t>
  </si>
  <si>
    <t>0190</t>
  </si>
  <si>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</si>
  <si>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t>Pressure (Gauge)</t>
  </si>
  <si>
    <t>xx.x</t>
  </si>
  <si>
    <t>kPa</t>
  </si>
  <si>
    <t>Conversion kPa -&gt; PSI:</t>
  </si>
  <si>
    <t>1 kPa (10 HPa) = 0.1450377 PSI</t>
  </si>
  <si>
    <t>Pressure (Air Pressure)</t>
  </si>
  <si>
    <t>0.0117</t>
  </si>
  <si>
    <t>xxx.xxxx</t>
  </si>
  <si>
    <t>xxx.x</t>
  </si>
  <si>
    <t>Pressure (Fuel Pressure)</t>
  </si>
  <si>
    <t>0.079</t>
  </si>
  <si>
    <t>Pressure (Diesel Pressure)</t>
  </si>
  <si>
    <t>xxxxxxx</t>
  </si>
  <si>
    <t>xxxxx.x</t>
  </si>
  <si>
    <t>Angle</t>
  </si>
  <si>
    <t>0x8D</t>
  </si>
  <si>
    <t>0x03</t>
  </si>
  <si>
    <t>0x04</t>
  </si>
  <si>
    <t>0x05</t>
  </si>
  <si>
    <t>0x06</t>
  </si>
  <si>
    <t>0x07</t>
  </si>
  <si>
    <t>0x08</t>
  </si>
  <si>
    <t>0x09</t>
  </si>
  <si>
    <t>0x0A</t>
  </si>
  <si>
    <t>0x0B</t>
  </si>
  <si>
    <t>0x0C</t>
  </si>
  <si>
    <t>0x0D</t>
  </si>
  <si>
    <t>0x0E</t>
  </si>
  <si>
    <t>0x0F</t>
  </si>
  <si>
    <t>0x10</t>
  </si>
  <si>
    <t>0x23</t>
  </si>
  <si>
    <t>0x24</t>
  </si>
  <si>
    <t>0x31</t>
  </si>
  <si>
    <t>0x11</t>
  </si>
  <si>
    <t>0x12</t>
  </si>
  <si>
    <t>0x13</t>
  </si>
  <si>
    <t>0x14</t>
  </si>
  <si>
    <t>0x15</t>
  </si>
  <si>
    <t>0x16</t>
  </si>
  <si>
    <t>0x17</t>
  </si>
  <si>
    <t>0x18</t>
  </si>
  <si>
    <t>0x19</t>
  </si>
  <si>
    <t>0x1A</t>
  </si>
  <si>
    <t>0x1B</t>
  </si>
  <si>
    <t>0x1C</t>
  </si>
  <si>
    <t>0x1D</t>
  </si>
  <si>
    <t>0x1E</t>
  </si>
  <si>
    <t>0x1F</t>
  </si>
  <si>
    <t>0x25</t>
  </si>
  <si>
    <t>0x26</t>
  </si>
  <si>
    <t>0x27</t>
  </si>
  <si>
    <t>0x28</t>
  </si>
  <si>
    <t>0x29</t>
  </si>
  <si>
    <t>0x2A</t>
  </si>
  <si>
    <t>0x2B</t>
  </si>
  <si>
    <t>0x2C</t>
  </si>
  <si>
    <t>0x2D</t>
  </si>
  <si>
    <t>0x2E</t>
  </si>
  <si>
    <t>0x30</t>
  </si>
  <si>
    <t>0x3E</t>
  </si>
  <si>
    <t>0x3F</t>
  </si>
  <si>
    <t>Engine Control Module</t>
  </si>
  <si>
    <t>10</t>
  </si>
  <si>
    <t>0.25 Pa per bit signed</t>
  </si>
  <si>
    <t>0x8A</t>
  </si>
  <si>
    <t>1</t>
  </si>
  <si>
    <t>o</t>
  </si>
  <si>
    <t>8CA0</t>
  </si>
  <si>
    <t>0.5</t>
  </si>
  <si>
    <t>xxxxxx.x</t>
  </si>
  <si>
    <t>Equivalence ratio (lambda)</t>
  </si>
  <si>
    <t>measured Air/Fuel ratio divided by</t>
  </si>
  <si>
    <t>the stoichiometric Air/Fuel ratio</t>
  </si>
  <si>
    <t>8013</t>
  </si>
  <si>
    <t>(14.64 for gasoline)</t>
  </si>
  <si>
    <t>Air/Fuel Ratio</t>
  </si>
  <si>
    <t>0.05</t>
  </si>
  <si>
    <t>xxxx.xx</t>
  </si>
  <si>
    <t>measured Air/Fuel ratio NOT</t>
  </si>
  <si>
    <t>0014</t>
  </si>
  <si>
    <t>divided by the stoichiometric</t>
  </si>
  <si>
    <t>0126</t>
  </si>
  <si>
    <t>Air/Fuel ratio (14.64 for gasoline)</t>
  </si>
  <si>
    <t>Ratio</t>
  </si>
  <si>
    <t>xxx.xxxxxxx</t>
  </si>
  <si>
    <t>Conversion mHz -&gt; Hz -&gt; kHz:</t>
  </si>
  <si>
    <t>1000 mHz = 1 Hz</t>
  </si>
  <si>
    <t>kHz</t>
  </si>
  <si>
    <t>Counts</t>
  </si>
  <si>
    <t>Distance</t>
  </si>
  <si>
    <t>Conversion km -&gt; mile:</t>
  </si>
  <si>
    <t>1 km = 0.62137 miles</t>
  </si>
  <si>
    <t>0x2F</t>
  </si>
  <si>
    <t>0x81</t>
  </si>
  <si>
    <t>0x82</t>
  </si>
  <si>
    <t>0x83</t>
  </si>
  <si>
    <t>0x84</t>
  </si>
  <si>
    <t>0x85</t>
  </si>
  <si>
    <t>0x86</t>
  </si>
  <si>
    <t>0x90</t>
  </si>
  <si>
    <t>0x91</t>
  </si>
  <si>
    <t>0x98</t>
  </si>
  <si>
    <t>0x99</t>
  </si>
  <si>
    <t>0xA8</t>
  </si>
  <si>
    <t>0xA9</t>
  </si>
  <si>
    <t>0xAD</t>
  </si>
  <si>
    <t>0xB0</t>
  </si>
  <si>
    <t>0xB1</t>
  </si>
  <si>
    <t>mph</t>
  </si>
  <si>
    <t>Frequency</t>
  </si>
  <si>
    <t>FFFD</t>
  </si>
  <si>
    <t>0002</t>
  </si>
  <si>
    <t>0064</t>
  </si>
  <si>
    <t>03E7</t>
  </si>
  <si>
    <t>0001</t>
  </si>
  <si>
    <t>2004</t>
  </si>
  <si>
    <t>mV</t>
  </si>
  <si>
    <t>V</t>
  </si>
  <si>
    <t>xxxxxx</t>
  </si>
  <si>
    <t>mA</t>
  </si>
  <si>
    <t>s</t>
  </si>
  <si>
    <t>mOhm</t>
  </si>
  <si>
    <t>Ohm</t>
  </si>
  <si>
    <t>PSI</t>
  </si>
  <si>
    <t>lambda</t>
  </si>
  <si>
    <t>A/F ratio</t>
  </si>
  <si>
    <t>mHz</t>
  </si>
  <si>
    <t>Hz</t>
  </si>
  <si>
    <t>counts</t>
  </si>
  <si>
    <t>km</t>
  </si>
  <si>
    <t>miles</t>
  </si>
  <si>
    <t>0.01 kPa per bit signed</t>
  </si>
  <si>
    <t>Description</t>
  </si>
  <si>
    <t>Scaling/bit</t>
  </si>
  <si>
    <t>A</t>
  </si>
  <si>
    <t>0x87</t>
  </si>
  <si>
    <t>0x32</t>
  </si>
  <si>
    <t>0x33</t>
  </si>
  <si>
    <t>0x34</t>
  </si>
  <si>
    <t>0x35</t>
  </si>
  <si>
    <t>0x36</t>
  </si>
  <si>
    <t>0x37</t>
  </si>
  <si>
    <t>0x38</t>
  </si>
  <si>
    <t>0x39</t>
  </si>
  <si>
    <t>0x3A</t>
  </si>
  <si>
    <t>0x3B</t>
  </si>
  <si>
    <t>0x3C</t>
  </si>
  <si>
    <t>0x3D</t>
  </si>
  <si>
    <t>0x43</t>
  </si>
  <si>
    <t>0x44</t>
  </si>
  <si>
    <t>0x8B</t>
  </si>
  <si>
    <t>0x20</t>
  </si>
  <si>
    <t>0x40</t>
  </si>
  <si>
    <t>0x01</t>
  </si>
  <si>
    <t>0x02</t>
  </si>
  <si>
    <t>0x21</t>
  </si>
  <si>
    <t>0x22</t>
  </si>
  <si>
    <t>0x41</t>
  </si>
  <si>
    <t>0x42</t>
  </si>
  <si>
    <t>0x8C</t>
  </si>
  <si>
    <t>Voltage per time</t>
  </si>
  <si>
    <t>Conversion mV/ms -&gt; V/ms:</t>
  </si>
  <si>
    <t>1000 mV/ms = 1 V/ms</t>
  </si>
  <si>
    <t>mV/ms</t>
  </si>
  <si>
    <t>V/ms</t>
  </si>
  <si>
    <t>x.xxxx</t>
  </si>
  <si>
    <t>Mass per time</t>
  </si>
  <si>
    <t>0.01 g/s per bit unsigned</t>
  </si>
  <si>
    <t>Conversion g/s -&gt; lb/s:</t>
  </si>
  <si>
    <t>1 g/s = 0.0022046 lb/s</t>
  </si>
  <si>
    <t>g/s</t>
  </si>
  <si>
    <t>lb/s</t>
  </si>
  <si>
    <t>x.xxx</t>
  </si>
  <si>
    <t>Pressure per time</t>
  </si>
  <si>
    <t>0.25 Pa/s per bit unsigned</t>
  </si>
  <si>
    <t>1 per bit unsigned</t>
  </si>
  <si>
    <t>0.1 per bit unsigned</t>
  </si>
  <si>
    <t xml:space="preserve"> 0.01 per bit unsigned</t>
  </si>
  <si>
    <t xml:space="preserve"> 0.001 per bit unsigned</t>
  </si>
  <si>
    <t>0.25  rpm per bit unsigned</t>
  </si>
  <si>
    <t>0.01 km/h per bit unsigned</t>
  </si>
  <si>
    <t>0.000030517578 per bit unsigned</t>
  </si>
  <si>
    <t>0.000305 per bit unsigned</t>
  </si>
  <si>
    <t>1 km/h per bit unsigned</t>
  </si>
  <si>
    <t>0.1220703125 mV per bit unsigned</t>
  </si>
  <si>
    <t>0.001 V per bit unsigned</t>
  </si>
  <si>
    <t>0.01 V per bit unsigned</t>
  </si>
  <si>
    <t>0.00390625 mA per bit unsigned</t>
  </si>
  <si>
    <t>0.001 A per bit unsigned</t>
  </si>
  <si>
    <t>0.01 A per bit unsigned</t>
  </si>
  <si>
    <t>1 ms per bit unsigned</t>
  </si>
  <si>
    <t>100 ms per bit unsigned</t>
  </si>
  <si>
    <t>1 s per bit unsigned</t>
  </si>
  <si>
    <t>1 mOhm per bit unsigned</t>
  </si>
  <si>
    <t>1 Ohm per bit unsigned</t>
  </si>
  <si>
    <t>1 kOhm per bit unsigned</t>
  </si>
  <si>
    <t>0.01 kPa per bit unsigned</t>
  </si>
  <si>
    <t>0.0117 kPa per bit unsigned</t>
  </si>
  <si>
    <t>0.079 kPa per bit unsigned</t>
  </si>
  <si>
    <t>1 kPa per bit unsigned</t>
  </si>
  <si>
    <t>10 kPa per bit unsigned</t>
  </si>
  <si>
    <r>
      <t xml:space="preserve">0.01 </t>
    </r>
    <r>
      <rPr>
        <vertAlign val="superscript"/>
        <sz val="8"/>
        <rFont val="Arial"/>
        <family val="2"/>
      </rPr>
      <t>o</t>
    </r>
    <r>
      <rPr>
        <sz val="8"/>
        <rFont val="Arial"/>
        <family val="2"/>
      </rPr>
      <t xml:space="preserve"> per bit unsigned</t>
    </r>
  </si>
  <si>
    <r>
      <t xml:space="preserve">0.5 </t>
    </r>
    <r>
      <rPr>
        <vertAlign val="superscript"/>
        <sz val="8"/>
        <rFont val="Arial"/>
        <family val="2"/>
      </rPr>
      <t>o</t>
    </r>
    <r>
      <rPr>
        <sz val="8"/>
        <rFont val="Arial"/>
        <family val="2"/>
      </rPr>
      <t xml:space="preserve"> per bit unsigned</t>
    </r>
  </si>
  <si>
    <t>0.05 per bit unsigned</t>
  </si>
  <si>
    <t>0.00390625 per bit unsigned</t>
  </si>
  <si>
    <t>1 mHz per bit unsigned</t>
  </si>
  <si>
    <t>1 Hz per bit unsigned</t>
  </si>
  <si>
    <t>1 kHz per bit unsigned</t>
  </si>
  <si>
    <t>1 km per bit unsigned</t>
  </si>
  <si>
    <t>0.1 mV/ms per bit unsigned</t>
  </si>
  <si>
    <t>1 g/s per bit unsigned</t>
  </si>
  <si>
    <t>Conversion: inH2O/s -&gt; kPa/s</t>
  </si>
  <si>
    <t>1 inH2O/s = 0.2490889 kPa/s</t>
  </si>
  <si>
    <t>1 inH2O = 249.0889 Pa</t>
  </si>
  <si>
    <t>1 mmH2O = 9.80665 Pa</t>
  </si>
  <si>
    <t>1 mmHg = 133.3224 Pa</t>
  </si>
  <si>
    <t>kPa/s</t>
  </si>
  <si>
    <t>inH2O/s</t>
  </si>
  <si>
    <t>4000</t>
  </si>
  <si>
    <t>0004</t>
  </si>
  <si>
    <t>xx.xxxx</t>
  </si>
  <si>
    <t>0.001 kg/h per bit unsigned</t>
  </si>
  <si>
    <t>Conversion lbs/s -&gt; kg/h:</t>
  </si>
  <si>
    <t>1 lbs/s = 0.4535924 kg/h</t>
  </si>
  <si>
    <t>kg/hr</t>
  </si>
  <si>
    <t>lb/hr</t>
  </si>
  <si>
    <t>Switches</t>
  </si>
  <si>
    <t>1 hex to decimal unsigned</t>
  </si>
  <si>
    <t>switches</t>
  </si>
  <si>
    <t>Mass per cylinder</t>
  </si>
  <si>
    <t>0.01 g/cyl per bit unsigned</t>
  </si>
  <si>
    <t>g/cyl</t>
  </si>
  <si>
    <t>Mass per stroke</t>
  </si>
  <si>
    <t>0.01 mg/stroke unsigned</t>
  </si>
  <si>
    <t>mg/stroke</t>
  </si>
  <si>
    <t>True/False</t>
  </si>
  <si>
    <t>state encoded, unsigned</t>
  </si>
  <si>
    <t>Percent</t>
  </si>
  <si>
    <t>0.01 % per bit unsigned</t>
  </si>
  <si>
    <t>percent</t>
  </si>
  <si>
    <t>2710</t>
  </si>
  <si>
    <t>0.001526 % per bit unsigned</t>
  </si>
  <si>
    <t>0.001526</t>
  </si>
  <si>
    <t>xxx.xxxxxx</t>
  </si>
  <si>
    <t>10 ms per bit unsigned</t>
  </si>
  <si>
    <t>5, 28</t>
  </si>
  <si>
    <t>10, 0</t>
  </si>
  <si>
    <t>10, 55</t>
  </si>
  <si>
    <t>xx min, xx s</t>
  </si>
  <si>
    <t>Weight</t>
  </si>
  <si>
    <t>0.01 g per bit unsigned</t>
  </si>
  <si>
    <t>Conversion g -&gt; lbs:</t>
  </si>
  <si>
    <t>0052</t>
  </si>
  <si>
    <t>0E21</t>
  </si>
  <si>
    <t>g</t>
  </si>
  <si>
    <t>lbs</t>
  </si>
  <si>
    <t>1 lbs = 453.5924 g</t>
  </si>
  <si>
    <t>0.1 g per bit unsigned</t>
  </si>
  <si>
    <t>1 g per bit unsigned</t>
  </si>
  <si>
    <t>58F0</t>
  </si>
  <si>
    <t>7FFF</t>
  </si>
  <si>
    <t>8001</t>
  </si>
  <si>
    <t>A710</t>
  </si>
  <si>
    <t>0.001 g per bit unsigned</t>
  </si>
  <si>
    <t>0.0001</t>
  </si>
  <si>
    <t>0.0001 g per bit unsigned</t>
  </si>
  <si>
    <r>
      <t xml:space="preserve">0.1 </t>
    </r>
    <r>
      <rPr>
        <sz val="8"/>
        <rFont val="Symbol"/>
        <family val="1"/>
        <charset val="2"/>
      </rPr>
      <t>m</t>
    </r>
    <r>
      <rPr>
        <sz val="8"/>
        <rFont val="Arial"/>
        <family val="2"/>
      </rPr>
      <t>s per bit unsigned</t>
    </r>
  </si>
  <si>
    <r>
      <rPr>
        <sz val="8"/>
        <rFont val="Symbol"/>
        <family val="1"/>
        <charset val="2"/>
      </rPr>
      <t>m</t>
    </r>
    <r>
      <rPr>
        <sz val="8"/>
        <rFont val="Arial"/>
        <family val="2"/>
      </rPr>
      <t>s</t>
    </r>
  </si>
  <si>
    <t>Conversion s -&gt; min:</t>
  </si>
  <si>
    <t>Area</t>
  </si>
  <si>
    <t>0.00006103516</t>
  </si>
  <si>
    <r>
      <t>0.00006103516  mm</t>
    </r>
    <r>
      <rPr>
        <vertAlign val="superscript"/>
        <sz val="8"/>
        <rFont val="Arial"/>
        <family val="2"/>
      </rPr>
      <t>2</t>
    </r>
    <r>
      <rPr>
        <sz val="8"/>
        <rFont val="Arial"/>
        <family val="2"/>
      </rPr>
      <t xml:space="preserve"> per bit unsigned</t>
    </r>
  </si>
  <si>
    <t>0.01 L per bit unsigned</t>
  </si>
  <si>
    <t>part per million</t>
  </si>
  <si>
    <t>1 ppm per bit unsigned</t>
  </si>
  <si>
    <t>ppm</t>
  </si>
  <si>
    <r>
      <t xml:space="preserve">0.01 </t>
    </r>
    <r>
      <rPr>
        <sz val="8"/>
        <rFont val="Symbol"/>
        <family val="1"/>
        <charset val="2"/>
      </rPr>
      <t>mA</t>
    </r>
    <r>
      <rPr>
        <sz val="8"/>
        <rFont val="Arial"/>
        <family val="2"/>
      </rPr>
      <t xml:space="preserve"> per bit unsigned</t>
    </r>
  </si>
  <si>
    <r>
      <t xml:space="preserve">Conversion </t>
    </r>
    <r>
      <rPr>
        <sz val="8"/>
        <rFont val="Symbol"/>
        <family val="1"/>
        <charset val="2"/>
      </rPr>
      <t>m</t>
    </r>
    <r>
      <rPr>
        <sz val="8"/>
        <rFont val="Arial"/>
        <family val="2"/>
      </rPr>
      <t>A -&gt; A:</t>
    </r>
  </si>
  <si>
    <r>
      <t xml:space="preserve">1000000 </t>
    </r>
    <r>
      <rPr>
        <sz val="8"/>
        <rFont val="Symbol"/>
        <family val="1"/>
        <charset val="2"/>
      </rPr>
      <t>m</t>
    </r>
    <r>
      <rPr>
        <sz val="8"/>
        <rFont val="Arial"/>
        <family val="2"/>
      </rPr>
      <t>A -&gt; 1 A:</t>
    </r>
  </si>
  <si>
    <t>2 bytes, signed</t>
  </si>
  <si>
    <t>1 per bit signed</t>
  </si>
  <si>
    <t>FFFFFF</t>
  </si>
  <si>
    <t>0.1 per bit signed</t>
  </si>
  <si>
    <t>0.01 per bit signed</t>
  </si>
  <si>
    <t>0.001 per bit signed</t>
  </si>
  <si>
    <t>1 ppm per bit signed</t>
  </si>
  <si>
    <t>0.001 V per bit signed</t>
  </si>
  <si>
    <t>0.01 V per bit signed</t>
  </si>
  <si>
    <t>0.001 mA per bit unsigned</t>
  </si>
  <si>
    <t>Conversion ms -&gt; s:</t>
  </si>
  <si>
    <t>ms</t>
  </si>
  <si>
    <t>FE70</t>
  </si>
  <si>
    <t>4E20</t>
  </si>
  <si>
    <t>1 ms per bit signed</t>
  </si>
  <si>
    <t>Pressure</t>
  </si>
  <si>
    <t>0.1 kPa per bit signed</t>
  </si>
  <si>
    <r>
      <t xml:space="preserve">0.01 </t>
    </r>
    <r>
      <rPr>
        <vertAlign val="superscript"/>
        <sz val="8"/>
        <rFont val="Arial"/>
        <family val="2"/>
      </rPr>
      <t>o</t>
    </r>
    <r>
      <rPr>
        <sz val="8"/>
        <rFont val="Arial"/>
        <family val="2"/>
      </rPr>
      <t xml:space="preserve"> per bit signed</t>
    </r>
  </si>
  <si>
    <t>F060</t>
  </si>
  <si>
    <t>0FA0</t>
  </si>
  <si>
    <r>
      <t xml:space="preserve">0.5 </t>
    </r>
    <r>
      <rPr>
        <vertAlign val="superscript"/>
        <sz val="8"/>
        <rFont val="Arial"/>
        <family val="2"/>
      </rPr>
      <t>o</t>
    </r>
    <r>
      <rPr>
        <sz val="8"/>
        <rFont val="Arial"/>
        <family val="2"/>
      </rPr>
      <t xml:space="preserve"> per bit signed</t>
    </r>
  </si>
  <si>
    <t>FF60</t>
  </si>
  <si>
    <t>00A0</t>
  </si>
  <si>
    <t>Temperature per time</t>
  </si>
  <si>
    <t>1 g/s per bit signed</t>
  </si>
  <si>
    <t>xx.xx</t>
  </si>
  <si>
    <t>0.25 Pa/s per bit signed</t>
  </si>
  <si>
    <r>
      <t>Conversion Pa -&gt; inH</t>
    </r>
    <r>
      <rPr>
        <vertAlign val="subscript"/>
        <sz val="8"/>
        <rFont val="Arial"/>
        <family val="2"/>
      </rPr>
      <t>2</t>
    </r>
    <r>
      <rPr>
        <sz val="8"/>
        <rFont val="Arial"/>
        <family val="2"/>
      </rPr>
      <t>O:</t>
    </r>
  </si>
  <si>
    <r>
      <t>1 Pa = 0.0040146309 inH</t>
    </r>
    <r>
      <rPr>
        <vertAlign val="subscript"/>
        <sz val="8"/>
        <rFont val="Arial"/>
        <family val="2"/>
      </rPr>
      <t>2</t>
    </r>
    <r>
      <rPr>
        <sz val="8"/>
        <rFont val="Arial"/>
        <family val="2"/>
      </rPr>
      <t>O</t>
    </r>
  </si>
  <si>
    <t>FFFC</t>
  </si>
  <si>
    <t>Pa/s</t>
  </si>
  <si>
    <r>
      <t>H</t>
    </r>
    <r>
      <rPr>
        <vertAlign val="subscript"/>
        <sz val="8"/>
        <rFont val="Arial"/>
        <family val="2"/>
      </rPr>
      <t>2</t>
    </r>
    <r>
      <rPr>
        <sz val="8"/>
        <rFont val="Arial"/>
        <family val="2"/>
      </rPr>
      <t>O/s</t>
    </r>
  </si>
  <si>
    <t>0.01 mg/stroke per bit signed</t>
  </si>
  <si>
    <t>0.1 mg/stroke per bit signed</t>
  </si>
  <si>
    <t>0.01 % per bit signed</t>
  </si>
  <si>
    <t>D8F0</t>
  </si>
  <si>
    <t>0.003052</t>
  </si>
  <si>
    <t>0.003052 % per bit signed</t>
  </si>
  <si>
    <t>2</t>
  </si>
  <si>
    <t>2mV/s per bit signed</t>
  </si>
  <si>
    <t>mV/s</t>
  </si>
  <si>
    <t>0xFB</t>
  </si>
  <si>
    <t>10 kPa per bit signed</t>
  </si>
  <si>
    <t>0xFC</t>
  </si>
  <si>
    <t>0.001 kPa per bit signed</t>
  </si>
  <si>
    <t>0xFE</t>
  </si>
  <si>
    <t>Pa</t>
  </si>
  <si>
    <r>
      <t>H</t>
    </r>
    <r>
      <rPr>
        <vertAlign val="subscript"/>
        <sz val="8"/>
        <rFont val="Arial"/>
        <family val="2"/>
      </rPr>
      <t>2</t>
    </r>
    <r>
      <rPr>
        <sz val="8"/>
        <rFont val="Arial"/>
        <family val="2"/>
      </rPr>
      <t>O</t>
    </r>
  </si>
  <si>
    <t>Energy</t>
  </si>
  <si>
    <t>0.1 kJ per bit unsigned</t>
  </si>
  <si>
    <t>kJ</t>
  </si>
  <si>
    <t>BTU</t>
  </si>
  <si>
    <t>Mass per energy</t>
  </si>
  <si>
    <t>Conversion kJ -&gt; BTU:</t>
  </si>
  <si>
    <t>1.055056 kJ = 1 BTU</t>
  </si>
  <si>
    <t>Conversion kWh -&gt; bhp-hr:</t>
  </si>
  <si>
    <t>1 kilowatt hour = 1.3410221084</t>
  </si>
  <si>
    <t>brake horsepower hour</t>
  </si>
  <si>
    <t>g/kWh</t>
  </si>
  <si>
    <t>0.00024414 g/kWh per bit unsigned</t>
  </si>
  <si>
    <t>g/bhp-hr</t>
  </si>
  <si>
    <t>1 mg/stroke per bit signed</t>
  </si>
  <si>
    <t>Torque</t>
  </si>
  <si>
    <t>0.1 Nm per bit signed</t>
  </si>
  <si>
    <t>Nm</t>
  </si>
  <si>
    <t>Conversion Nm -&gt; lbf ft:</t>
  </si>
  <si>
    <t>lbf ft</t>
  </si>
  <si>
    <t>0.1 s per bit signed</t>
  </si>
  <si>
    <t>1 Nm = 0.737562 lbf ft</t>
  </si>
  <si>
    <r>
      <t>mm</t>
    </r>
    <r>
      <rPr>
        <vertAlign val="superscript"/>
        <sz val="8"/>
        <rFont val="Arial"/>
        <family val="2"/>
      </rPr>
      <t>2</t>
    </r>
  </si>
  <si>
    <r>
      <rPr>
        <sz val="8"/>
        <rFont val="Symbol"/>
        <family val="1"/>
        <charset val="2"/>
      </rPr>
      <t>m</t>
    </r>
    <r>
      <rPr>
        <sz val="8"/>
        <rFont val="Arial"/>
        <family val="2"/>
      </rPr>
      <t>s</t>
    </r>
  </si>
  <si>
    <r>
      <t xml:space="preserve">1 </t>
    </r>
    <r>
      <rPr>
        <sz val="8"/>
        <rFont val="Symbol"/>
        <family val="1"/>
        <charset val="2"/>
      </rPr>
      <t>m</t>
    </r>
    <r>
      <rPr>
        <sz val="8"/>
        <rFont val="Arial"/>
        <family val="2"/>
      </rPr>
      <t>s per bit signed</t>
    </r>
  </si>
  <si>
    <r>
      <t xml:space="preserve">Conversion </t>
    </r>
    <r>
      <rPr>
        <sz val="8"/>
        <rFont val="Symbol"/>
        <family val="1"/>
        <charset val="2"/>
      </rPr>
      <t>m</t>
    </r>
    <r>
      <rPr>
        <sz val="8"/>
        <rFont val="Arial"/>
        <family val="2"/>
      </rPr>
      <t>s -&gt; s:</t>
    </r>
  </si>
  <si>
    <r>
      <t xml:space="preserve">1000000 </t>
    </r>
    <r>
      <rPr>
        <sz val="8"/>
        <rFont val="Symbol"/>
        <family val="1"/>
        <charset val="2"/>
      </rPr>
      <t>m</t>
    </r>
    <r>
      <rPr>
        <sz val="8"/>
        <rFont val="Arial"/>
        <family val="2"/>
      </rPr>
      <t>s = 1 s</t>
    </r>
  </si>
  <si>
    <r>
      <rPr>
        <vertAlign val="superscript"/>
        <sz val="8"/>
        <rFont val="Arial"/>
        <family val="2"/>
      </rPr>
      <t>o</t>
    </r>
    <r>
      <rPr>
        <sz val="8"/>
        <rFont val="Arial"/>
        <family val="2"/>
      </rPr>
      <t>C</t>
    </r>
  </si>
  <si>
    <r>
      <rPr>
        <vertAlign val="superscript"/>
        <sz val="8"/>
        <rFont val="Arial"/>
        <family val="2"/>
      </rPr>
      <t>o</t>
    </r>
    <r>
      <rPr>
        <sz val="8"/>
        <rFont val="Arial"/>
        <family val="2"/>
      </rPr>
      <t>F</t>
    </r>
  </si>
  <si>
    <r>
      <t xml:space="preserve">0.1 </t>
    </r>
    <r>
      <rPr>
        <vertAlign val="superscript"/>
        <sz val="8"/>
        <rFont val="Arial"/>
        <family val="2"/>
      </rPr>
      <t>o</t>
    </r>
    <r>
      <rPr>
        <sz val="8"/>
        <rFont val="Arial"/>
        <family val="2"/>
      </rPr>
      <t>C per bit signed</t>
    </r>
  </si>
  <si>
    <r>
      <t xml:space="preserve"> o</t>
    </r>
    <r>
      <rPr>
        <sz val="8"/>
        <rFont val="Arial"/>
        <family val="2"/>
      </rPr>
      <t xml:space="preserve">F =  </t>
    </r>
    <r>
      <rPr>
        <vertAlign val="superscript"/>
        <sz val="8"/>
        <rFont val="Arial"/>
        <family val="2"/>
      </rPr>
      <t>o</t>
    </r>
    <r>
      <rPr>
        <sz val="8"/>
        <rFont val="Arial"/>
        <family val="2"/>
      </rPr>
      <t xml:space="preserve">C * 1.8 + 32 </t>
    </r>
    <r>
      <rPr>
        <vertAlign val="superscript"/>
        <sz val="8"/>
        <rFont val="Arial"/>
        <family val="2"/>
      </rPr>
      <t xml:space="preserve"> o</t>
    </r>
    <r>
      <rPr>
        <sz val="8"/>
        <rFont val="Arial"/>
        <family val="2"/>
      </rPr>
      <t>C</t>
    </r>
  </si>
  <si>
    <r>
      <rPr>
        <vertAlign val="superscript"/>
        <sz val="8"/>
        <rFont val="Arial"/>
        <family val="2"/>
      </rPr>
      <t>o</t>
    </r>
    <r>
      <rPr>
        <sz val="8"/>
        <rFont val="Arial"/>
        <family val="2"/>
      </rPr>
      <t>C/s</t>
    </r>
  </si>
  <si>
    <r>
      <rPr>
        <vertAlign val="superscript"/>
        <sz val="8"/>
        <rFont val="Arial"/>
        <family val="2"/>
      </rPr>
      <t>o</t>
    </r>
    <r>
      <rPr>
        <sz val="8"/>
        <rFont val="Arial"/>
        <family val="2"/>
      </rPr>
      <t>F/s</t>
    </r>
  </si>
  <si>
    <r>
      <t xml:space="preserve">0.01 </t>
    </r>
    <r>
      <rPr>
        <vertAlign val="superscript"/>
        <sz val="8"/>
        <rFont val="Arial"/>
        <family val="2"/>
      </rPr>
      <t>o</t>
    </r>
    <r>
      <rPr>
        <sz val="8"/>
        <rFont val="Arial"/>
        <family val="2"/>
      </rPr>
      <t>C/s per bit signed</t>
    </r>
  </si>
  <si>
    <r>
      <t xml:space="preserve"> o</t>
    </r>
    <r>
      <rPr>
        <sz val="8"/>
        <rFont val="Arial"/>
        <family val="2"/>
      </rPr>
      <t xml:space="preserve">F =  </t>
    </r>
    <r>
      <rPr>
        <vertAlign val="superscript"/>
        <sz val="8"/>
        <rFont val="Arial"/>
        <family val="2"/>
      </rPr>
      <t>o</t>
    </r>
    <r>
      <rPr>
        <sz val="8"/>
        <rFont val="Arial"/>
        <family val="2"/>
      </rPr>
      <t>C * 1.8</t>
    </r>
    <r>
      <rPr>
        <vertAlign val="superscript"/>
        <sz val="8"/>
        <rFont val="Arial"/>
        <family val="2"/>
      </rPr>
      <t xml:space="preserve"> o</t>
    </r>
    <r>
      <rPr>
        <sz val="8"/>
        <rFont val="Arial"/>
        <family val="2"/>
      </rPr>
      <t>C</t>
    </r>
  </si>
  <si>
    <t>20 kPa per bit signed</t>
  </si>
  <si>
    <t>20</t>
  </si>
  <si>
    <t>0xFA</t>
  </si>
  <si>
    <r>
      <t>0xF</t>
    </r>
    <r>
      <rPr>
        <sz val="8"/>
        <color rgb="FFFF0000"/>
        <rFont val="Arial"/>
        <family val="2"/>
      </rPr>
      <t>D</t>
    </r>
    <r>
      <rPr>
        <strike/>
        <sz val="8"/>
        <color rgb="FFFF0000"/>
        <rFont val="Arial"/>
        <family val="2"/>
      </rPr>
      <t>C</t>
    </r>
  </si>
  <si>
    <t>Body Control Module</t>
  </si>
  <si>
    <r>
      <rPr>
        <sz val="8"/>
        <color rgb="FFFF0000"/>
        <rFont val="Arial"/>
        <family val="2"/>
      </rPr>
      <t>0.</t>
    </r>
    <r>
      <rPr>
        <sz val="8"/>
        <rFont val="Arial"/>
        <family val="2"/>
      </rPr>
      <t xml:space="preserve">1 </t>
    </r>
    <r>
      <rPr>
        <vertAlign val="superscript"/>
        <sz val="8"/>
        <rFont val="Arial"/>
        <family val="2"/>
      </rPr>
      <t>o</t>
    </r>
    <r>
      <rPr>
        <sz val="8"/>
        <rFont val="Arial"/>
        <family val="2"/>
      </rPr>
      <t>C per bit - 40</t>
    </r>
    <r>
      <rPr>
        <vertAlign val="superscript"/>
        <sz val="8"/>
        <rFont val="Arial"/>
        <family val="2"/>
      </rPr>
      <t>o</t>
    </r>
    <r>
      <rPr>
        <sz val="8"/>
        <rFont val="Arial"/>
        <family val="2"/>
      </rPr>
      <t>C</t>
    </r>
  </si>
  <si>
    <t>This Appendix uses the following nomenclature for numbering and units for the U.S., European notation, and External Test Equipment display. Table B1 includes an example.</t>
  </si>
  <si>
    <t>Appendix Example</t>
  </si>
  <si>
    <t>U.S. Notation</t>
  </si>
  <si>
    <t>European Notation</t>
  </si>
  <si>
    <t>External Test Equipment Display</t>
  </si>
  <si>
    <r>
      <t>4750.75 min</t>
    </r>
    <r>
      <rPr>
        <sz val="7"/>
        <color rgb="FF000000"/>
        <rFont val="Symbol"/>
        <family val="1"/>
        <charset val="2"/>
      </rPr>
      <t>-</t>
    </r>
    <r>
      <rPr>
        <sz val="7"/>
        <color rgb="FF000000"/>
        <rFont val="Arial"/>
        <family val="2"/>
      </rPr>
      <t>1</t>
    </r>
  </si>
  <si>
    <t>The remote ECU is not functioning and sending any data.</t>
  </si>
  <si>
    <t>The OBD device that is hardwired to the remote ECU has failed and the remote ECU is sending a message with invalid data for the OBD remote device.</t>
  </si>
  <si>
    <t>In either one of these cases the following applies:</t>
  </si>
  <si>
    <t>Figure B1 is an example of Fuel Level Sending Unit input via network message illustrates a possible configuration of providing Fuel Level and Vehicle Speed information to the external test equipment.</t>
  </si>
  <si>
    <t>The network communication DTCs shall be obtained from SAE J2012 and/or SAE J2012 DA.</t>
  </si>
  <si>
    <t>In some cases, PID data can be inferred from one or more available signals in the OBD ECU. For example, BARO can be inferred using mass air flow, engine RPM and throttle position rather than being directly read from a BARO pressure sensor. If one or more of the inputs used to infer the data are faulted and the PID data is unavailable, the PID shall indicate default value currently being used by the OBD ECU.</t>
  </si>
  <si>
    <t>Key</t>
  </si>
  <si>
    <t>Fuel Level Sending Unit connected to Instrument Cluster via A/D hardwire link</t>
  </si>
  <si>
    <t>Body CAN bus</t>
  </si>
  <si>
    <t>IC sends fuel level data to BCM</t>
  </si>
  <si>
    <t>IC sends fuel level data to CGW</t>
  </si>
  <si>
    <t>Powertrain CAN bus</t>
  </si>
  <si>
    <t>ECM sends wheel speed data to CGW</t>
  </si>
  <si>
    <t>ABS sends wheel speed data to ECM via Powertrain CAN bus</t>
  </si>
  <si>
    <t xml:space="preserve">Wheel Speed Sensor connected to ABS (networked Wheel Speed read for ECM) </t>
  </si>
  <si>
    <t>Diagnostic CAN bus</t>
  </si>
  <si>
    <t>ABS</t>
  </si>
  <si>
    <t>Anti-lock Brake Control Module</t>
  </si>
  <si>
    <t>BCM</t>
  </si>
  <si>
    <t>CAN-B</t>
  </si>
  <si>
    <t>Body CAN</t>
  </si>
  <si>
    <t>CAN-P</t>
  </si>
  <si>
    <t>Powertrain CAN</t>
  </si>
  <si>
    <t>CAN-D</t>
  </si>
  <si>
    <t>Diagnostic CAN</t>
  </si>
  <si>
    <t>CGW</t>
  </si>
  <si>
    <t>Central Gateway</t>
  </si>
  <si>
    <t>ECM</t>
  </si>
  <si>
    <t>FLSU</t>
  </si>
  <si>
    <t>Fuel Level Sending Unit</t>
  </si>
  <si>
    <t>IC</t>
  </si>
  <si>
    <t>Instrument Cluster</t>
  </si>
  <si>
    <t>WSS</t>
  </si>
  <si>
    <t>Wheel Speed Sensor</t>
  </si>
  <si>
    <t>Figure B1 - Example of Fuel Level Sending Unit input via network message</t>
  </si>
  <si>
    <t>Many PIDs starting with PID $65 incorporate a new bit-mapped structure that creates duplicate PIDs e.g. $05 - Engine Coolant Temperature and $67 - Engine Coolant Temperature. In general, it is recommended that manufacturers support only one PID; however, there may be cases where some older tools and applications, e.g. a telematic unit, may not have been updated to read the new bit-mapped PIDs. As a result, there may be manufacturers that want to support both the old and new bit-mapped PIDs for backward compatibility. Using these duplicate PIDs to display the same ECU data is allowed unless otherwise specified in the PID description.</t>
  </si>
  <si>
    <t>J1979 PIDs have a defined length. When using PIDs that support multiple data items, all specified bytes must be used even if not all the data is supported. For example, PID $66 supports two MAF sensors, however, if only MAF A sensor is supported, the PID must still contain three bytes of data including data byte C for the unsupported MAF B sensor. The data for the unsupported sensor is not specified in this document; however, it is recommended that unsupported data bytes be filled with $00 or $0000.</t>
  </si>
  <si>
    <t>In distributed network architectures, certain OBD devices may be hardwired to other ECUs or be independent OBD mechatronic devices, e.g. smart sensor/actuator, connected through a network from another ECU (both referred to as remote OBD devices). When remote OBD devices are not hardwired to the OBD ECU and the data is not received over the data bus from the specific remote OBD device, this may occur for two reasons:</t>
  </si>
  <si>
    <t>The primary OBD ECU shall report Service $01 and Service $02 data parameters as the minimum or maximum value to indicate that the signal has not been received. A PID which includes this invalid data (no signal) shall either be reported with a minimum value ($00 or $0000) or maximum value ($FF or $FFFF), e.g. PID $0D “Vehicle Speed Sensor” = $FF = 255 km/h, PID $2F “Fuel Level Input” = $00 = 0.0 %. The reported value shall be determined by the manufacturer based on system design and network architecture to represent the least likely value to be expected under normal conditions.</t>
  </si>
  <si>
    <t>B.1          Nomenclature</t>
  </si>
  <si>
    <t>Table B1 - Numbering and units for the U.S. notation, European notation and External Test Equipment display</t>
  </si>
  <si>
    <t>B.2          Signals received via distributed networks</t>
  </si>
  <si>
    <t>The OBD ECU may store a network communication DTC after appropriate filtering, if the ECU detects that any remote OBD signal is completely missing. It shall set a DTC for “Lost Communication with ‘X’ Control Module”.</t>
  </si>
  <si>
    <t>The OBD ECU may store a network communication DTC after appropriate filtering, if the ECU detects that any remote OBD signal is unavailable or invalid. This means that the remote ECU is still sending a message, but the OBD device hardwired to it is faulted and the data is indicated to be invalid or contains default data. It shall set a DTC for “Invalid Data Received from ‘X’ Control Module”.</t>
  </si>
  <si>
    <t>B.3          Inferred Signals</t>
  </si>
  <si>
    <t>B.4          PID Structure</t>
  </si>
  <si>
    <t>C.1 Definitions</t>
  </si>
  <si>
    <t>Positive Kinetic Energy (PKE)</t>
  </si>
  <si>
    <t>PKE will be that same for a given driving cycle, regardless of the weight of the vehicle.</t>
  </si>
  <si>
    <r>
      <t>Kinetic Energy (KE) = 1/2(mv</t>
    </r>
    <r>
      <rPr>
        <vertAlign val="superscript"/>
        <sz val="10"/>
        <rFont val="Arial"/>
        <family val="2"/>
      </rPr>
      <t>2</t>
    </r>
    <r>
      <rPr>
        <sz val="10"/>
        <rFont val="Arial"/>
        <family val="2"/>
      </rPr>
      <t>) where mass is the mass and v is the velocity</t>
    </r>
  </si>
  <si>
    <r>
      <t xml:space="preserve">Work (W) = Force * distance (d) = </t>
    </r>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xml:space="preserve">) </t>
    </r>
  </si>
  <si>
    <r>
      <rPr>
        <sz val="10"/>
        <rFont val="Wingdings 3"/>
        <family val="1"/>
        <charset val="2"/>
      </rPr>
      <t>r</t>
    </r>
    <r>
      <rPr>
        <sz val="10"/>
        <rFont val="Arial"/>
        <family val="2"/>
      </rPr>
      <t>KE = 1/2(mv</t>
    </r>
    <r>
      <rPr>
        <vertAlign val="subscript"/>
        <sz val="10"/>
        <rFont val="Arial"/>
        <family val="2"/>
      </rPr>
      <t>1</t>
    </r>
    <r>
      <rPr>
        <vertAlign val="superscript"/>
        <sz val="10"/>
        <rFont val="Arial"/>
        <family val="2"/>
      </rPr>
      <t>2</t>
    </r>
    <r>
      <rPr>
        <sz val="10"/>
        <rFont val="Arial"/>
        <family val="2"/>
      </rPr>
      <t>) - 1/2(mv</t>
    </r>
    <r>
      <rPr>
        <vertAlign val="subscript"/>
        <sz val="10"/>
        <rFont val="Arial"/>
        <family val="2"/>
      </rPr>
      <t>0</t>
    </r>
    <r>
      <rPr>
        <vertAlign val="superscript"/>
        <sz val="10"/>
        <rFont val="Arial"/>
        <family val="2"/>
      </rPr>
      <t>2</t>
    </r>
    <r>
      <rPr>
        <sz val="10"/>
        <rFont val="Arial"/>
        <family val="2"/>
      </rPr>
      <t>) / d</t>
    </r>
  </si>
  <si>
    <r>
      <rPr>
        <sz val="10"/>
        <rFont val="Wingdings 3"/>
        <family val="1"/>
        <charset val="2"/>
      </rPr>
      <t>r</t>
    </r>
    <r>
      <rPr>
        <sz val="10"/>
        <rFont val="Arial"/>
        <family val="2"/>
      </rPr>
      <t>KE = (v</t>
    </r>
    <r>
      <rPr>
        <vertAlign val="subscript"/>
        <sz val="10"/>
        <rFont val="Arial"/>
        <family val="2"/>
      </rPr>
      <t>1</t>
    </r>
    <r>
      <rPr>
        <vertAlign val="superscript"/>
        <sz val="10"/>
        <rFont val="Arial"/>
        <family val="2"/>
      </rPr>
      <t>2</t>
    </r>
    <r>
      <rPr>
        <sz val="10"/>
        <rFont val="Arial"/>
        <family val="2"/>
      </rPr>
      <t>) - (v</t>
    </r>
    <r>
      <rPr>
        <vertAlign val="subscript"/>
        <sz val="10"/>
        <rFont val="Arial"/>
        <family val="2"/>
      </rPr>
      <t>0</t>
    </r>
    <r>
      <rPr>
        <vertAlign val="superscript"/>
        <sz val="10"/>
        <rFont val="Arial"/>
        <family val="2"/>
      </rPr>
      <t>2</t>
    </r>
    <r>
      <rPr>
        <sz val="10"/>
        <rFont val="Arial"/>
        <family val="2"/>
      </rPr>
      <t>) / d</t>
    </r>
  </si>
  <si>
    <t>We do not know mass (m) so we can discard it, we can discard the constant 1/2, and distance can be approximated by average velocity * time,</t>
  </si>
  <si>
    <t>If we accumulate only the positive accelerations and accumulate the total distance travelled, we get PKE</t>
  </si>
  <si>
    <r>
      <t>The PKE units are: (km/hr)</t>
    </r>
    <r>
      <rPr>
        <vertAlign val="superscript"/>
        <sz val="10"/>
        <rFont val="Arial"/>
        <family val="2"/>
      </rPr>
      <t>2</t>
    </r>
    <r>
      <rPr>
        <sz val="10"/>
        <rFont val="Arial"/>
        <family val="2"/>
      </rPr>
      <t xml:space="preserve"> - (km/hr)</t>
    </r>
    <r>
      <rPr>
        <vertAlign val="superscript"/>
        <sz val="10"/>
        <rFont val="Arial"/>
        <family val="2"/>
      </rPr>
      <t>2</t>
    </r>
    <r>
      <rPr>
        <sz val="10"/>
        <rFont val="Arial"/>
        <family val="2"/>
      </rPr>
      <t xml:space="preserve"> / km = km/hr</t>
    </r>
    <r>
      <rPr>
        <vertAlign val="superscript"/>
        <sz val="10"/>
        <rFont val="Arial"/>
        <family val="2"/>
      </rPr>
      <t>2</t>
    </r>
  </si>
  <si>
    <t>HWFET</t>
  </si>
  <si>
    <t>3-bag FTP</t>
  </si>
  <si>
    <t>LA4 UDDS</t>
  </si>
  <si>
    <t>SC03</t>
  </si>
  <si>
    <t>US06</t>
  </si>
  <si>
    <t>LA92 Unified</t>
  </si>
  <si>
    <t>Cycle</t>
  </si>
  <si>
    <r>
      <t>PKE (km/hr</t>
    </r>
    <r>
      <rPr>
        <b/>
        <vertAlign val="superscript"/>
        <sz val="10"/>
        <rFont val="Arial"/>
        <family val="2"/>
      </rPr>
      <t>2</t>
    </r>
    <r>
      <rPr>
        <b/>
        <sz val="10"/>
        <rFont val="Arial"/>
        <family val="2"/>
      </rPr>
      <t>)</t>
    </r>
  </si>
  <si>
    <t>Engine Output Energy</t>
  </si>
  <si>
    <t>Rotational work = Power = Force (torque) * distance = Torque * 2𝜋 * rpm / 60</t>
  </si>
  <si>
    <t>Power (W) = Brake Engine Torque (Nm) * 2𝜋 * rpm / 60</t>
  </si>
  <si>
    <t>Energy (Joules) = Power (Watts) * time (seconds), but Joules must be converted to kWh.</t>
  </si>
  <si>
    <t>Brake torque is calculated by subtracting Friction Torque (PID $8E) from Indicated Torque (PID $62) (both PIDs are percentages) and then multiplying by the reference torque (PID $63), which is in units of N*m</t>
  </si>
  <si>
    <t>Integral of brake engine power output over time will then give engine output energy in unit of Watts or Joules (J), which is then converted to kilowatt hours for the purposes of this PID.</t>
  </si>
  <si>
    <t>Propulsion System Active</t>
  </si>
  <si>
    <t xml:space="preserve">Kinetic Energy can be derived from velocity, distance travelled and  the mass of the vehicle. Since the mass of the vehicle is not known (e.g. heavily loaded truck versus empty truck), mass is not used in the calculation. </t>
  </si>
  <si>
    <t>Active Off-Cycle Credit Technology</t>
  </si>
  <si>
    <t>Charge Depleting Operation</t>
  </si>
  <si>
    <t>“Charge depleting operation” means the state of vehicle operation when the current battery state of charge (SOC) is higher than the charge sustaining target SOC value and, while it may fluctuate, the intent of the vehicle control system is to deplete the SOC from a higher level down to the charge sustaining target SOC value. For the purposes of tracking grid energy consumed during charge depleting operation in section (g)(6.4), charge depleting operation shall also include when the vehicle is connected to the grid for charging. For the purposes of defining the transition of the control system from charge depleting operation to charge sustaining operating once the charge sustaining target SOC value has been met, the first occurrence of fueled engine operation once the SOC is less than or equal to the charge sustaining target SOC value shall be used as the transition point.</t>
  </si>
  <si>
    <t>Charge Sustaining Operation</t>
  </si>
  <si>
    <t>Driver-selectable Charge Increasing Operation</t>
  </si>
  <si>
    <t>“Driver-selectable charge increasing operation” means the state of vehicle operation where both: (a) the driver has selected a mode of operation different than the default or normal mode of the vehicle that is intended to increase the battery SOC (e.g., 'charge now' button); and (b) that the current intent of the vehicle control system is to increase the battery SOC from its current level to a higher SOC target value (i.e., the current SOC is lower than the target SOC). This state does not include operation in a driver-selectable mode where the control system has reached the target SOC and is now operating with the intent to maintain, on average, the target SOC. For the purposes of defining the transition of the control system from an intent to increase the SOC to an intent to maintain the SOC once the target has been reached, either the first time the SOC is greater than or equal to the target SOC or the first occurrence of engine off once the SOC is greater than or equal to the target SOC shall be used as the transition point. For continued operation in the driver-selectable mode once the system has transitioned to an intent to maintain the SOC, the operation shall be considered charge sustaining operation unless the actual SOC falls below the target SOC by more than five percent at which time the system will be considered as transitioned back to an intent to increase the SOC (driver-selectable charge increasing operation).</t>
  </si>
  <si>
    <t>Grid Energy</t>
  </si>
  <si>
    <t>“Grid energy”, for the purposes of tracking grid energy parameters in section (g)(6.4), means all energy into the battery while connected to grid power (e.g., plugged-in) and with the engine off. Grid energy shall not include electrical losses between the grid and the battery (e.g., from on-board charger inefficiency) or energy directly used by the vehicle without first going into the battery (e.g., electricity utilized directly from before or after the on-board charger to power on-vehicle devices for cabin conditioning, charging control, etc.). For the purposes of tracking grid energy consumed during charge depleting operation in section (g)(6.4), energy consumed (i.e., out of the battery) shall be considered non-grid energy until all non-grid energy is depleted. Additionally, on any trip where the vehicle transitions from charge depleting operation to charge sustaining operation once the charge sustaining target SOC value has been met, the values currently assumed for grid and non-grid energy remaining in the battery shall be reset to zero to minimize the accumulation of errors over time.</t>
  </si>
  <si>
    <t>Non-grid Energy</t>
  </si>
  <si>
    <t>“Non-grid energy”, for the purposes of tracking grid energy parameters in section (g)(6.4), means all energy into the battery during charge depleting operation and during driver-selectable charge increasing operation from any source other than grid power (i.e., while not connected to a source of power for charging). Examples of non-grid energy include energy recovered during braking and energy supplied to the battery during engine operation. If an engine running condition exists while connected to a source of grid power for charging, all energy going into the battery during the engine running event shall be considered non-grid energy. Non-grid energy may not include any energy into the battery during charge sustaining operation.</t>
  </si>
  <si>
    <r>
      <rPr>
        <sz val="8"/>
        <color rgb="FFFF0000"/>
        <rFont val="Arial"/>
        <family val="2"/>
      </rPr>
      <t>0</t>
    </r>
    <r>
      <rPr>
        <sz val="8"/>
        <rFont val="Arial"/>
        <family val="2"/>
      </rPr>
      <t>.1</t>
    </r>
  </si>
  <si>
    <t>Siemens per centimeter</t>
  </si>
  <si>
    <t>1 µS per cm per bit unsigned</t>
  </si>
  <si>
    <t>µS/cm</t>
  </si>
  <si>
    <t>Engine heat recovery means a system that captures heat that would otherwise be lost through the exhaust system or through the radiator and converting that heat to electrical or mechanical energy to meet the requirements of the vehicle</t>
  </si>
  <si>
    <t>Engine heat recovery</t>
  </si>
  <si>
    <t>Active aerodynamic improvements</t>
  </si>
  <si>
    <t>Active aerodynamic improvements means technologies that are actively controlled to improve aerodynamic efficiency.</t>
  </si>
  <si>
    <t>Engine stop-start</t>
  </si>
  <si>
    <t>Active engine warm-up means a system that uses waste heat, thermal storage, or waste energy to warm up targeted sub-systems of the engine such that frictional losses are reduced. It would allow a faster transition from colder operation to warm operation, decreasing CO2 emissions, and increasing fuel economy.</t>
  </si>
  <si>
    <t>Active engine warm-up</t>
  </si>
  <si>
    <t>Active drivetrain warm-up means a system that uses waste heat or waste energy to warm-up driveline fluids quickly and reduces parasitic drivetrain (transmission, axles, PTUs, t-cases) system losses, related to friction and fluid viscosity</t>
  </si>
  <si>
    <t>Active drivetrain warm-up</t>
  </si>
  <si>
    <t>Engine Output Energy describes the brake engine power output over time.</t>
  </si>
  <si>
    <t>Derivation:</t>
  </si>
  <si>
    <t>EOE (kilowatt-hour) = 3.6 (mega joule)</t>
  </si>
  <si>
    <t>Engine stop-start means a technology which enables a vehicle to automatically turn off the engine when the vehicle comes to rest and restart the engine with driver action (e.g., applies pressure to the accelerator or releases the brake). Off-cycle engine stop start credits will only be allowed if the Administrator has made a determination under the testing and calculation provisions in 40 C.F.R. part 600 that engine stop-start is the predominant operating mode.</t>
  </si>
  <si>
    <t>PKE is a term found in the literature to describe the aggressiveness of a drive cycle. It does this my summing up the increasing (positive) changes in kinetic energy and discarding decreasing (negative) changes in kinetic energy.</t>
  </si>
  <si>
    <r>
      <t>Thus, the units of PKE are not actually units of energy. They are calculated in km/hr</t>
    </r>
    <r>
      <rPr>
        <vertAlign val="superscript"/>
        <sz val="10"/>
        <rFont val="Arial"/>
        <family val="2"/>
      </rPr>
      <t>2</t>
    </r>
    <r>
      <rPr>
        <sz val="10"/>
        <rFont val="Arial"/>
        <family val="2"/>
      </rPr>
      <t xml:space="preserve"> rather than Joules or kWh. In spite of this, PKE is useful in comparing the aggressiveness different driving cycles.</t>
    </r>
  </si>
  <si>
    <t>“Active off-cycle credit technology” refers to a technology that generates off-cycle credits in accordance with title 13, CCR section 1961.3(a)(8) or 40 Code of Federal Regulations (CFR) §86.1869-12 as it existed on August 5, 2015, as applicable, and that must be activated by the vehicle or driver in order to provide a carbon dioxide (CO2) reduction benefit. Examples of active off-cycle credit technologies include active aerodynamic features (e.g., grill shutters or ride height that is automatically adjusted by the vehicle control system based on vehicle speed or other conditions), active engine warmup technologies, and driver coaching and/or feedback systems that encourage the driver to alter his/her actions to maximize efficiency. Examples of off-cycle credit technologies that are not required to be tracked under section (g)(6) include non-active technologies such as solar glazing and solar reflective paint, thermal control technologies specified in title 13, CCR section 1961.3(a)(8)(A)1.a. or 40 CFR §86.1869-12(b)(1)(viii), as it existed on August 5, 2015, engine idle stop-start systems, driver-activated technologies where the driver does not have a less efficient selectable option (e.g., high efficiency exterior lights), and technologies related solely to heating, ventilation, and air conditioning for vehicle cabin conditioning.</t>
  </si>
  <si>
    <t>“Charge sustaining operation” means the state of vehicle operation when the battery SOC may fluctuate but the intent of the vehicle control system is to maintain, on average, the current SOC. Examples of this state include when a plug-in hybrid electric vehicle is operating as a conventional hybrid vehicle (i.e., if the vehicle has depleted all of the grid energy from the battery and is controlling to the charge sustaining target SOC value) as well as operation in any driver-selectable modes designed to maintain the current SOC (e.g., a ‘hold’ button intended to save electric drive operation for later in the driving cycle, a ‘charge now’ button after it has reached its target SOC and the intent of the control system is to maintain, on average, that target SOC).</t>
  </si>
  <si>
    <t>Charge sustaining target SOC value</t>
  </si>
  <si>
    <t>“Charge sustaining target SOC value” means the nominal target SOC that the control system is designed to maintain, on average, when operating as a conventional hybrid vehicle after depletion of any grid energy in the battery.</t>
  </si>
  <si>
    <t>“Propulsion system active” is the state where the powertrain (e.g., engine, electric machine) is enabled by the driver (e.g., after ignition on for conventional vehicles, after power button pushed for some hybrid vehicles, or after remote start activation) such that the vehicle is ready to be used (e.g., vehicle is ready to be driven, ready to be shifted from “park” to “drive”, heating, ventilation, and air conditioning (HVAC) turned on to condition cabin prior to driving). For purposes of this definition, “the state where the powertrain is enabled” does not include activations that are not driver-initiated (e.g., conditions where portions of the vehicle system wake up to perform OBD II monitoring or off-board charging). This state also does not include remote start activations that cannot cause the engine to start (e.g., in a remote activation to condition the cabin, the engine will not start until there is further action by the driver to enable the vehicle for operation regardless of cabin conditioning demand or length of cabin conditioning operation).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</si>
</sst>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76" formatCode="0.0"/>
    <numFmt numFmtId="177" formatCode="0.000000"/>
    <numFmt numFmtId="178" formatCode="0.000"/>
    <numFmt numFmtId="179" formatCode="0.0000000"/>
    <numFmt numFmtId="180" formatCode="0.00000000"/>
    <numFmt numFmtId="181" formatCode="0.0000"/>
    <numFmt numFmtId="182" formatCode="0.00000"/>
    <numFmt numFmtId="183" formatCode="0.000000%"/>
  </numFmts>
  <fonts count="42" x14ac:knownFonts="1">
    <font>
      <sz val="10"/>
      <name val="Arial"/>
    </font>
    <font>
      <sz val="10"/>
      <color theme="1"/>
      <name val="Arial"/>
      <family val="2"/>
    </font>
    <font>
      <sz val="10"/>
      <color theme="1"/>
      <name val="Arial"/>
      <family val="2"/>
    </font>
    <font>
      <sz val="10"/>
      <name val="Arial"/>
      <family val="2"/>
    </font>
    <font>
      <sz val="8"/>
      <name val="Arial"/>
      <family val="2"/>
    </font>
    <font>
      <b/>
      <sz val="8"/>
      <name val="Arial"/>
      <family val="2"/>
    </font>
    <font>
      <sz val="8"/>
      <name val="Arial"/>
      <family val="2"/>
    </font>
    <font>
      <vertAlign val="superscript"/>
      <sz val="8"/>
      <name val="Arial"/>
      <family val="2"/>
    </font>
    <font>
      <vertAlign val="subscript"/>
      <sz val="8"/>
      <name val="Arial"/>
      <family val="2"/>
    </font>
    <font>
      <sz val="10"/>
      <name val="Arial"/>
      <family val="2"/>
    </font>
    <font>
      <b/>
      <sz val="10"/>
      <name val="Arial"/>
      <family val="2"/>
    </font>
    <font>
      <sz val="8"/>
      <name val="Symbol"/>
      <family val="1"/>
      <charset val="2"/>
    </font>
    <font>
      <sz val="8"/>
      <color rgb="FFFF0000"/>
      <name val="Arial"/>
      <family val="2"/>
    </font>
    <font>
      <sz val="8"/>
      <color theme="0"/>
      <name val="Arial"/>
      <family val="2"/>
    </font>
    <font>
      <strike/>
      <sz val="8"/>
      <color rgb="FFFF0000"/>
      <name val="Arial"/>
      <family val="2"/>
    </font>
    <font>
      <sz val="10"/>
      <color rgb="FFFF0000"/>
      <name val="Arial"/>
      <family val="2"/>
    </font>
    <font>
      <vertAlign val="superscript"/>
      <sz val="10"/>
      <name val="Arial"/>
      <family val="2"/>
    </font>
    <font>
      <sz val="10"/>
      <color rgb="FF000000"/>
      <name val="Arial"/>
      <family val="2"/>
    </font>
    <font>
      <b/>
      <sz val="10"/>
      <color rgb="FF000000"/>
      <name val="Arial"/>
      <family val="2"/>
    </font>
    <font>
      <sz val="7"/>
      <color rgb="FF000000"/>
      <name val="Symbol"/>
      <family val="1"/>
      <charset val="2"/>
    </font>
    <font>
      <sz val="7"/>
      <color rgb="FF000000"/>
      <name val="Arial"/>
      <family val="2"/>
    </font>
    <font>
      <sz val="10"/>
      <name val="Wingdings 3"/>
      <family val="1"/>
      <charset val="2"/>
    </font>
    <font>
      <vertAlign val="subscript"/>
      <sz val="10"/>
      <name val="Arial"/>
      <family val="2"/>
    </font>
    <font>
      <b/>
      <vertAlign val="superscript"/>
      <sz val="10"/>
      <name val="Arial"/>
      <family val="2"/>
    </font>
    <font>
      <b/>
      <sz val="18"/>
      <color theme="3"/>
      <name val="宋体"/>
      <family val="2"/>
      <scheme val="major"/>
    </font>
    <font>
      <sz val="11"/>
      <color theme="1"/>
      <name val="宋体"/>
      <family val="2"/>
      <scheme val="min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sz val="9"/>
      <name val="宋体"/>
      <family val="3"/>
      <charset val="134"/>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67">
    <border>
      <left/>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dotted">
        <color indexed="64"/>
      </left>
      <right style="dotted">
        <color indexed="64"/>
      </right>
      <top style="dotted">
        <color indexed="64"/>
      </top>
      <bottom/>
      <diagonal/>
    </border>
    <border>
      <left/>
      <right style="dotted">
        <color indexed="64"/>
      </right>
      <top style="dotted">
        <color indexed="64"/>
      </top>
      <bottom style="dotted">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tted">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right style="thick">
        <color indexed="64"/>
      </right>
      <top/>
      <bottom style="thick">
        <color indexed="64"/>
      </bottom>
      <diagonal/>
    </border>
    <border>
      <left style="dotted">
        <color indexed="64"/>
      </left>
      <right style="dotted">
        <color indexed="64"/>
      </right>
      <top/>
      <bottom style="dotted">
        <color indexed="64"/>
      </bottom>
      <diagonal/>
    </border>
    <border>
      <left style="thick">
        <color indexed="64"/>
      </left>
      <right style="medium">
        <color indexed="64"/>
      </right>
      <top style="thick">
        <color indexed="64"/>
      </top>
      <bottom style="thick">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dotted">
        <color indexed="64"/>
      </top>
      <bottom style="medium">
        <color indexed="64"/>
      </bottom>
      <diagonal/>
    </border>
    <border>
      <left style="medium">
        <color indexed="64"/>
      </left>
      <right style="thin">
        <color indexed="64"/>
      </right>
      <top/>
      <bottom style="dotted">
        <color indexed="64"/>
      </bottom>
      <diagonal/>
    </border>
    <border>
      <left style="medium">
        <color indexed="64"/>
      </left>
      <right style="thin">
        <color indexed="64"/>
      </right>
      <top style="dotted">
        <color indexed="64"/>
      </top>
      <bottom/>
      <diagonal/>
    </border>
    <border>
      <left style="medium">
        <color indexed="64"/>
      </left>
      <right style="thin">
        <color indexed="64"/>
      </right>
      <top style="dotted">
        <color indexed="64"/>
      </top>
      <bottom style="dotted">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medium">
        <color indexed="64"/>
      </right>
      <top/>
      <bottom style="thick">
        <color indexed="64"/>
      </bottom>
      <diagonal/>
    </border>
    <border>
      <left/>
      <right style="medium">
        <color indexed="64"/>
      </right>
      <top/>
      <bottom style="thick">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tted">
        <color indexed="64"/>
      </left>
      <right style="thin">
        <color indexed="64"/>
      </right>
      <top style="dotted">
        <color indexed="64"/>
      </top>
      <bottom style="dotted">
        <color indexed="64"/>
      </bottom>
      <diagonal/>
    </border>
  </borders>
  <cellStyleXfs count="53">
    <xf numFmtId="0" fontId="0" fillId="0" borderId="0"/>
    <xf numFmtId="9" fontId="3" fillId="0" borderId="0" applyFont="0" applyFill="0" applyBorder="0" applyAlignment="0" applyProtection="0"/>
    <xf numFmtId="0" fontId="9" fillId="0" borderId="0"/>
    <xf numFmtId="9" fontId="9" fillId="0" borderId="0" applyFont="0" applyFill="0" applyBorder="0" applyAlignment="0" applyProtection="0"/>
    <xf numFmtId="0" fontId="24" fillId="0" borderId="0" applyNumberFormat="0" applyFill="0" applyBorder="0" applyAlignment="0" applyProtection="0"/>
    <xf numFmtId="0" fontId="25" fillId="0" borderId="0"/>
    <xf numFmtId="0" fontId="26" fillId="0" borderId="57" applyNumberFormat="0" applyFill="0" applyAlignment="0" applyProtection="0"/>
    <xf numFmtId="0" fontId="27" fillId="0" borderId="58" applyNumberFormat="0" applyFill="0" applyAlignment="0" applyProtection="0"/>
    <xf numFmtId="0" fontId="28" fillId="0" borderId="59" applyNumberFormat="0" applyFill="0" applyAlignment="0" applyProtection="0"/>
    <xf numFmtId="0" fontId="28" fillId="0" borderId="0" applyNumberFormat="0" applyFill="0" applyBorder="0" applyAlignment="0" applyProtection="0"/>
    <xf numFmtId="0" fontId="29" fillId="2" borderId="0" applyNumberFormat="0" applyBorder="0" applyAlignment="0" applyProtection="0"/>
    <xf numFmtId="0" fontId="30" fillId="3" borderId="0" applyNumberFormat="0" applyBorder="0" applyAlignment="0" applyProtection="0"/>
    <xf numFmtId="0" fontId="31" fillId="4" borderId="0" applyNumberFormat="0" applyBorder="0" applyAlignment="0" applyProtection="0"/>
    <xf numFmtId="0" fontId="32" fillId="5" borderId="60" applyNumberFormat="0" applyAlignment="0" applyProtection="0"/>
    <xf numFmtId="0" fontId="33" fillId="6" borderId="61" applyNumberFormat="0" applyAlignment="0" applyProtection="0"/>
    <xf numFmtId="0" fontId="34" fillId="6" borderId="60" applyNumberFormat="0" applyAlignment="0" applyProtection="0"/>
    <xf numFmtId="0" fontId="35" fillId="0" borderId="62" applyNumberFormat="0" applyFill="0" applyAlignment="0" applyProtection="0"/>
    <xf numFmtId="0" fontId="36" fillId="7" borderId="63" applyNumberFormat="0" applyAlignment="0" applyProtection="0"/>
    <xf numFmtId="0" fontId="37" fillId="0" borderId="0" applyNumberFormat="0" applyFill="0" applyBorder="0" applyAlignment="0" applyProtection="0"/>
    <xf numFmtId="0" fontId="25" fillId="8" borderId="64" applyNumberFormat="0" applyFont="0" applyAlignment="0" applyProtection="0"/>
    <xf numFmtId="0" fontId="38" fillId="0" borderId="0" applyNumberFormat="0" applyFill="0" applyBorder="0" applyAlignment="0" applyProtection="0"/>
    <xf numFmtId="0" fontId="39" fillId="0" borderId="65" applyNumberFormat="0" applyFill="0" applyAlignment="0" applyProtection="0"/>
    <xf numFmtId="0" fontId="40" fillId="9"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25" fillId="26" borderId="0" applyNumberFormat="0" applyBorder="0" applyAlignment="0" applyProtection="0"/>
    <xf numFmtId="0" fontId="25" fillId="27" borderId="0" applyNumberFormat="0" applyBorder="0" applyAlignment="0" applyProtection="0"/>
    <xf numFmtId="0" fontId="40" fillId="28" borderId="0" applyNumberFormat="0" applyBorder="0" applyAlignment="0" applyProtection="0"/>
    <xf numFmtId="0" fontId="40" fillId="29" borderId="0" applyNumberFormat="0" applyBorder="0" applyAlignment="0" applyProtection="0"/>
    <xf numFmtId="0" fontId="25" fillId="30" borderId="0" applyNumberFormat="0" applyBorder="0" applyAlignment="0" applyProtection="0"/>
    <xf numFmtId="0" fontId="25" fillId="31" borderId="0" applyNumberFormat="0" applyBorder="0" applyAlignment="0" applyProtection="0"/>
    <xf numFmtId="0" fontId="40" fillId="32" borderId="0" applyNumberFormat="0" applyBorder="0" applyAlignment="0" applyProtection="0"/>
    <xf numFmtId="0" fontId="25" fillId="0" borderId="0"/>
    <xf numFmtId="0" fontId="25" fillId="0" borderId="0"/>
    <xf numFmtId="0" fontId="2" fillId="0" borderId="0"/>
    <xf numFmtId="0" fontId="3" fillId="0" borderId="0"/>
    <xf numFmtId="0" fontId="3" fillId="0" borderId="0"/>
    <xf numFmtId="9" fontId="3" fillId="0" borderId="0" applyFont="0" applyFill="0" applyBorder="0" applyAlignment="0" applyProtection="0"/>
    <xf numFmtId="0" fontId="1" fillId="0" borderId="0"/>
  </cellStyleXfs>
  <cellXfs count="294">
    <xf numFmtId="0" fontId="0" fillId="0" borderId="0" xfId="0"/>
    <xf numFmtId="49" fontId="5" fillId="0" borderId="10" xfId="0" applyNumberFormat="1" applyFont="1" applyBorder="1" applyAlignment="1">
      <alignment horizontal="center"/>
    </xf>
    <xf numFmtId="49" fontId="5" fillId="0" borderId="10" xfId="0" applyNumberFormat="1" applyFont="1" applyFill="1" applyBorder="1" applyAlignment="1">
      <alignment horizontal="center"/>
    </xf>
    <xf numFmtId="49" fontId="5" fillId="0" borderId="5" xfId="0" applyNumberFormat="1" applyFont="1" applyFill="1" applyBorder="1" applyAlignment="1">
      <alignment horizontal="center"/>
    </xf>
    <xf numFmtId="49" fontId="5" fillId="0" borderId="5" xfId="0" applyNumberFormat="1" applyFont="1" applyBorder="1"/>
    <xf numFmtId="49" fontId="6" fillId="0" borderId="11" xfId="0" applyNumberFormat="1" applyFont="1" applyFill="1" applyBorder="1" applyAlignment="1">
      <alignment horizontal="center"/>
    </xf>
    <xf numFmtId="49" fontId="6" fillId="0" borderId="5" xfId="0" applyNumberFormat="1" applyFont="1" applyFill="1" applyBorder="1" applyAlignment="1">
      <alignment horizontal="center"/>
    </xf>
    <xf numFmtId="49" fontId="6" fillId="0" borderId="5" xfId="0" applyNumberFormat="1" applyFont="1" applyBorder="1"/>
    <xf numFmtId="49" fontId="6" fillId="0" borderId="12" xfId="0" applyNumberFormat="1" applyFont="1" applyBorder="1" applyAlignment="1">
      <alignment horizontal="center"/>
    </xf>
    <xf numFmtId="49" fontId="6" fillId="0" borderId="12" xfId="0" applyNumberFormat="1" applyFont="1" applyFill="1" applyBorder="1" applyAlignment="1">
      <alignment horizontal="center"/>
    </xf>
    <xf numFmtId="49" fontId="6" fillId="0" borderId="13" xfId="0" applyNumberFormat="1" applyFont="1" applyFill="1" applyBorder="1" applyAlignment="1">
      <alignment horizontal="center"/>
    </xf>
    <xf numFmtId="49" fontId="6" fillId="0" borderId="14" xfId="0" applyNumberFormat="1" applyFont="1" applyBorder="1" applyAlignment="1">
      <alignment horizontal="center"/>
    </xf>
    <xf numFmtId="49" fontId="6" fillId="0" borderId="14" xfId="0" applyNumberFormat="1" applyFont="1" applyFill="1" applyBorder="1" applyAlignment="1">
      <alignment horizontal="center"/>
    </xf>
    <xf numFmtId="49" fontId="6" fillId="0" borderId="15" xfId="0" applyNumberFormat="1" applyFont="1" applyFill="1" applyBorder="1" applyAlignment="1">
      <alignment horizontal="center"/>
    </xf>
    <xf numFmtId="49" fontId="6" fillId="0" borderId="16" xfId="0" applyNumberFormat="1" applyFont="1" applyFill="1" applyBorder="1" applyAlignment="1">
      <alignment horizontal="center"/>
    </xf>
    <xf numFmtId="49" fontId="6" fillId="0" borderId="17" xfId="0" applyNumberFormat="1" applyFont="1" applyFill="1" applyBorder="1" applyAlignment="1">
      <alignment horizontal="center"/>
    </xf>
    <xf numFmtId="49" fontId="6" fillId="0" borderId="18" xfId="0" applyNumberFormat="1" applyFont="1" applyFill="1" applyBorder="1" applyAlignment="1">
      <alignment horizontal="center"/>
    </xf>
    <xf numFmtId="49" fontId="6" fillId="0" borderId="15" xfId="0" applyNumberFormat="1" applyFont="1" applyBorder="1" applyAlignment="1">
      <alignment horizontal="center"/>
    </xf>
    <xf numFmtId="49" fontId="6" fillId="0" borderId="5" xfId="0" applyNumberFormat="1" applyFont="1" applyBorder="1" applyAlignment="1">
      <alignment horizontal="center"/>
    </xf>
    <xf numFmtId="49" fontId="5" fillId="0" borderId="5" xfId="0" applyNumberFormat="1" applyFont="1" applyBorder="1" applyAlignment="1">
      <alignment horizontal="center"/>
    </xf>
    <xf numFmtId="49" fontId="6" fillId="0" borderId="18" xfId="0" applyNumberFormat="1" applyFont="1" applyBorder="1" applyAlignment="1">
      <alignment horizontal="center"/>
    </xf>
    <xf numFmtId="49" fontId="6" fillId="0" borderId="16" xfId="0" applyNumberFormat="1" applyFont="1" applyBorder="1" applyAlignment="1">
      <alignment horizontal="center"/>
    </xf>
    <xf numFmtId="49" fontId="6" fillId="0" borderId="24" xfId="0" applyNumberFormat="1" applyFont="1" applyBorder="1" applyAlignment="1">
      <alignment horizontal="center"/>
    </xf>
    <xf numFmtId="49" fontId="6" fillId="0" borderId="25" xfId="0" applyNumberFormat="1" applyFont="1" applyBorder="1" applyAlignment="1">
      <alignment horizontal="center"/>
    </xf>
    <xf numFmtId="49" fontId="0" fillId="0" borderId="0" xfId="0" applyNumberFormat="1"/>
    <xf numFmtId="49" fontId="6" fillId="0" borderId="24" xfId="0" applyNumberFormat="1" applyFont="1" applyFill="1" applyBorder="1" applyAlignment="1">
      <alignment horizontal="center"/>
    </xf>
    <xf numFmtId="49" fontId="6" fillId="0" borderId="25" xfId="0" applyNumberFormat="1" applyFont="1" applyFill="1" applyBorder="1" applyAlignment="1">
      <alignment horizontal="center"/>
    </xf>
    <xf numFmtId="49" fontId="6" fillId="0" borderId="26" xfId="0" applyNumberFormat="1" applyFont="1" applyFill="1" applyBorder="1" applyAlignment="1">
      <alignment horizontal="center"/>
    </xf>
    <xf numFmtId="49" fontId="6" fillId="0" borderId="27" xfId="0" applyNumberFormat="1" applyFont="1" applyFill="1" applyBorder="1" applyAlignment="1">
      <alignment horizontal="center"/>
    </xf>
    <xf numFmtId="49" fontId="6" fillId="0" borderId="26" xfId="0" applyNumberFormat="1" applyFont="1" applyBorder="1" applyAlignment="1">
      <alignment horizontal="center"/>
    </xf>
    <xf numFmtId="1" fontId="6" fillId="0" borderId="13" xfId="0" applyNumberFormat="1" applyFont="1" applyFill="1" applyBorder="1" applyAlignment="1">
      <alignment horizontal="center"/>
    </xf>
    <xf numFmtId="177" fontId="6" fillId="0" borderId="13" xfId="0" applyNumberFormat="1" applyFont="1" applyFill="1" applyBorder="1" applyAlignment="1">
      <alignment horizontal="center"/>
    </xf>
    <xf numFmtId="177" fontId="6" fillId="0" borderId="17" xfId="0" applyNumberFormat="1" applyFont="1" applyFill="1" applyBorder="1" applyAlignment="1">
      <alignment horizontal="center"/>
    </xf>
    <xf numFmtId="177" fontId="6" fillId="0" borderId="5" xfId="0" applyNumberFormat="1" applyFont="1" applyBorder="1" applyAlignment="1">
      <alignment horizontal="center"/>
    </xf>
    <xf numFmtId="177" fontId="0" fillId="0" borderId="0" xfId="0" applyNumberFormat="1"/>
    <xf numFmtId="1" fontId="6" fillId="0" borderId="27" xfId="0" applyNumberFormat="1" applyFont="1" applyFill="1" applyBorder="1" applyAlignment="1">
      <alignment horizontal="center"/>
    </xf>
    <xf numFmtId="176" fontId="6" fillId="0" borderId="27" xfId="0" applyNumberFormat="1" applyFont="1" applyFill="1" applyBorder="1" applyAlignment="1">
      <alignment horizontal="center"/>
    </xf>
    <xf numFmtId="2" fontId="6" fillId="0" borderId="27" xfId="0" applyNumberFormat="1" applyFont="1" applyFill="1" applyBorder="1" applyAlignment="1">
      <alignment horizontal="center"/>
    </xf>
    <xf numFmtId="178" fontId="6" fillId="0" borderId="27" xfId="0" applyNumberFormat="1" applyFont="1" applyFill="1" applyBorder="1" applyAlignment="1">
      <alignment horizontal="center"/>
    </xf>
    <xf numFmtId="178" fontId="6" fillId="0" borderId="15" xfId="0" applyNumberFormat="1" applyFont="1" applyFill="1" applyBorder="1" applyAlignment="1">
      <alignment horizontal="center"/>
    </xf>
    <xf numFmtId="1" fontId="6" fillId="0" borderId="15" xfId="0" applyNumberFormat="1" applyFont="1" applyFill="1" applyBorder="1" applyAlignment="1">
      <alignment horizontal="center"/>
    </xf>
    <xf numFmtId="2" fontId="6" fillId="0" borderId="15" xfId="0" applyNumberFormat="1" applyFont="1" applyFill="1" applyBorder="1" applyAlignment="1">
      <alignment horizontal="center"/>
    </xf>
    <xf numFmtId="49" fontId="4" fillId="0" borderId="16" xfId="0" applyNumberFormat="1" applyFont="1" applyBorder="1" applyAlignment="1">
      <alignment horizontal="center"/>
    </xf>
    <xf numFmtId="177" fontId="6" fillId="0" borderId="27" xfId="0" applyNumberFormat="1" applyFont="1" applyFill="1" applyBorder="1" applyAlignment="1">
      <alignment horizontal="center"/>
    </xf>
    <xf numFmtId="49" fontId="0" fillId="0" borderId="0" xfId="0" applyNumberFormat="1" applyAlignment="1">
      <alignment horizontal="center"/>
    </xf>
    <xf numFmtId="0" fontId="5" fillId="0" borderId="10" xfId="0" applyNumberFormat="1" applyFont="1" applyFill="1" applyBorder="1" applyAlignment="1">
      <alignment horizontal="center"/>
    </xf>
    <xf numFmtId="0" fontId="6" fillId="0" borderId="13" xfId="0" applyNumberFormat="1" applyFont="1" applyFill="1" applyBorder="1" applyAlignment="1">
      <alignment horizontal="center"/>
    </xf>
    <xf numFmtId="0" fontId="6" fillId="0" borderId="5" xfId="0" applyNumberFormat="1" applyFont="1" applyBorder="1" applyAlignment="1">
      <alignment horizontal="center"/>
    </xf>
    <xf numFmtId="0" fontId="5" fillId="0" borderId="5" xfId="0" applyNumberFormat="1" applyFont="1" applyBorder="1" applyAlignment="1">
      <alignment horizontal="center"/>
    </xf>
    <xf numFmtId="0" fontId="0" fillId="0" borderId="0" xfId="0" applyNumberFormat="1"/>
    <xf numFmtId="0" fontId="6" fillId="0" borderId="28" xfId="0" applyNumberFormat="1" applyFont="1" applyFill="1" applyBorder="1" applyAlignment="1">
      <alignment horizontal="center"/>
    </xf>
    <xf numFmtId="0" fontId="6" fillId="0" borderId="29" xfId="0" applyNumberFormat="1" applyFont="1" applyFill="1" applyBorder="1" applyAlignment="1">
      <alignment horizontal="center"/>
    </xf>
    <xf numFmtId="0" fontId="5" fillId="0" borderId="5" xfId="0" applyNumberFormat="1" applyFont="1" applyFill="1" applyBorder="1" applyAlignment="1">
      <alignment horizontal="left"/>
    </xf>
    <xf numFmtId="0" fontId="5" fillId="0" borderId="5" xfId="0" applyNumberFormat="1" applyFont="1" applyFill="1" applyBorder="1" applyAlignment="1">
      <alignment horizontal="center"/>
    </xf>
    <xf numFmtId="0" fontId="6" fillId="0" borderId="5" xfId="0" applyNumberFormat="1" applyFont="1" applyFill="1" applyBorder="1" applyAlignment="1">
      <alignment horizontal="center"/>
    </xf>
    <xf numFmtId="0" fontId="0" fillId="0" borderId="0" xfId="0" applyNumberFormat="1" applyAlignment="1">
      <alignment horizontal="center"/>
    </xf>
    <xf numFmtId="177" fontId="6" fillId="0" borderId="5" xfId="0" applyNumberFormat="1" applyFont="1" applyBorder="1"/>
    <xf numFmtId="49" fontId="10" fillId="0" borderId="10" xfId="0" applyNumberFormat="1" applyFont="1" applyFill="1" applyBorder="1" applyAlignment="1">
      <alignment horizontal="left"/>
    </xf>
    <xf numFmtId="49" fontId="5" fillId="0" borderId="31" xfId="0" applyNumberFormat="1" applyFont="1" applyBorder="1" applyAlignment="1">
      <alignment horizontal="center"/>
    </xf>
    <xf numFmtId="49" fontId="5" fillId="0" borderId="31" xfId="0" applyNumberFormat="1" applyFont="1" applyFill="1" applyBorder="1" applyAlignment="1">
      <alignment horizontal="center"/>
    </xf>
    <xf numFmtId="49" fontId="5" fillId="0" borderId="30" xfId="0" applyNumberFormat="1" applyFont="1" applyFill="1" applyBorder="1" applyAlignment="1">
      <alignment horizontal="center"/>
    </xf>
    <xf numFmtId="49" fontId="5" fillId="0" borderId="31" xfId="0" applyNumberFormat="1" applyFont="1" applyFill="1" applyBorder="1" applyAlignment="1">
      <alignment horizontal="left"/>
    </xf>
    <xf numFmtId="49" fontId="0" fillId="0" borderId="33" xfId="0" applyNumberFormat="1" applyBorder="1"/>
    <xf numFmtId="0" fontId="5" fillId="0" borderId="23" xfId="0" applyNumberFormat="1" applyFont="1" applyFill="1" applyBorder="1" applyAlignment="1">
      <alignment horizontal="center"/>
    </xf>
    <xf numFmtId="49" fontId="6" fillId="0" borderId="34" xfId="0" applyNumberFormat="1" applyFont="1" applyFill="1" applyBorder="1" applyAlignment="1">
      <alignment horizontal="center"/>
    </xf>
    <xf numFmtId="49" fontId="6" fillId="0" borderId="35" xfId="0" applyNumberFormat="1" applyFont="1" applyFill="1" applyBorder="1" applyAlignment="1">
      <alignment horizontal="center"/>
    </xf>
    <xf numFmtId="0" fontId="6" fillId="0" borderId="36" xfId="0" applyNumberFormat="1" applyFont="1" applyFill="1" applyBorder="1" applyAlignment="1">
      <alignment horizontal="center"/>
    </xf>
    <xf numFmtId="49" fontId="6" fillId="0" borderId="37" xfId="0" applyNumberFormat="1" applyFont="1" applyFill="1" applyBorder="1" applyAlignment="1">
      <alignment horizontal="center"/>
    </xf>
    <xf numFmtId="1" fontId="6" fillId="0" borderId="17" xfId="0" applyNumberFormat="1" applyFont="1" applyFill="1" applyBorder="1" applyAlignment="1">
      <alignment horizontal="center"/>
    </xf>
    <xf numFmtId="1" fontId="6" fillId="0" borderId="38" xfId="0" applyNumberFormat="1" applyFont="1" applyFill="1" applyBorder="1" applyAlignment="1">
      <alignment horizontal="center"/>
    </xf>
    <xf numFmtId="49" fontId="6" fillId="0" borderId="39" xfId="0" applyNumberFormat="1" applyFont="1" applyFill="1" applyBorder="1" applyAlignment="1">
      <alignment horizontal="center"/>
    </xf>
    <xf numFmtId="177" fontId="6" fillId="0" borderId="12" xfId="0" applyNumberFormat="1" applyFont="1" applyFill="1" applyBorder="1" applyAlignment="1">
      <alignment horizontal="center"/>
    </xf>
    <xf numFmtId="49" fontId="0" fillId="0" borderId="22" xfId="0" applyNumberFormat="1" applyBorder="1"/>
    <xf numFmtId="176" fontId="6" fillId="0" borderId="15" xfId="0" applyNumberFormat="1" applyFont="1" applyFill="1" applyBorder="1" applyAlignment="1">
      <alignment horizontal="center"/>
    </xf>
    <xf numFmtId="176" fontId="6" fillId="0" borderId="40" xfId="0" applyNumberFormat="1" applyFont="1" applyFill="1" applyBorder="1" applyAlignment="1">
      <alignment horizontal="center"/>
    </xf>
    <xf numFmtId="176" fontId="6" fillId="0" borderId="17" xfId="0" applyNumberFormat="1" applyFont="1" applyFill="1" applyBorder="1" applyAlignment="1">
      <alignment horizontal="center"/>
    </xf>
    <xf numFmtId="176" fontId="6" fillId="0" borderId="38" xfId="0" applyNumberFormat="1" applyFont="1" applyFill="1" applyBorder="1" applyAlignment="1">
      <alignment horizontal="center"/>
    </xf>
    <xf numFmtId="2" fontId="6" fillId="0" borderId="17" xfId="0" applyNumberFormat="1" applyFont="1" applyFill="1" applyBorder="1" applyAlignment="1">
      <alignment horizontal="center"/>
    </xf>
    <xf numFmtId="2" fontId="6" fillId="0" borderId="38" xfId="0" applyNumberFormat="1" applyFont="1" applyFill="1" applyBorder="1" applyAlignment="1">
      <alignment horizontal="center"/>
    </xf>
    <xf numFmtId="178" fontId="6" fillId="0" borderId="17" xfId="0" applyNumberFormat="1" applyFont="1" applyFill="1" applyBorder="1" applyAlignment="1">
      <alignment horizontal="center"/>
    </xf>
    <xf numFmtId="178" fontId="6" fillId="0" borderId="37" xfId="0" applyNumberFormat="1" applyFont="1" applyFill="1" applyBorder="1" applyAlignment="1">
      <alignment horizontal="center"/>
    </xf>
    <xf numFmtId="179" fontId="6" fillId="0" borderId="27" xfId="0" applyNumberFormat="1" applyFont="1" applyFill="1" applyBorder="1" applyAlignment="1">
      <alignment horizontal="center"/>
    </xf>
    <xf numFmtId="2" fontId="6" fillId="0" borderId="41" xfId="0" applyNumberFormat="1" applyFont="1" applyFill="1" applyBorder="1" applyAlignment="1">
      <alignment horizontal="center"/>
    </xf>
    <xf numFmtId="0" fontId="6" fillId="0" borderId="32" xfId="0" applyNumberFormat="1" applyFont="1" applyFill="1" applyBorder="1" applyAlignment="1">
      <alignment horizontal="center"/>
    </xf>
    <xf numFmtId="0" fontId="6" fillId="0" borderId="42" xfId="0" applyNumberFormat="1" applyFont="1" applyFill="1" applyBorder="1" applyAlignment="1">
      <alignment horizontal="center"/>
    </xf>
    <xf numFmtId="0" fontId="6" fillId="0" borderId="43" xfId="0" applyNumberFormat="1" applyFont="1" applyFill="1" applyBorder="1" applyAlignment="1">
      <alignment horizontal="center"/>
    </xf>
    <xf numFmtId="0" fontId="6" fillId="0" borderId="12" xfId="0" applyNumberFormat="1" applyFont="1" applyFill="1" applyBorder="1" applyAlignment="1">
      <alignment horizontal="center"/>
    </xf>
    <xf numFmtId="2" fontId="6" fillId="0" borderId="40" xfId="0" applyNumberFormat="1" applyFont="1" applyFill="1" applyBorder="1" applyAlignment="1">
      <alignment horizontal="center"/>
    </xf>
    <xf numFmtId="49" fontId="6" fillId="0" borderId="27" xfId="0" applyNumberFormat="1" applyFont="1" applyBorder="1" applyAlignment="1">
      <alignment horizontal="center"/>
    </xf>
    <xf numFmtId="0" fontId="6" fillId="0" borderId="44" xfId="0" applyNumberFormat="1" applyFont="1" applyFill="1" applyBorder="1" applyAlignment="1">
      <alignment horizontal="center"/>
    </xf>
    <xf numFmtId="1" fontId="6" fillId="0" borderId="40" xfId="0" applyNumberFormat="1" applyFont="1" applyFill="1" applyBorder="1" applyAlignment="1">
      <alignment horizontal="center"/>
    </xf>
    <xf numFmtId="1" fontId="6" fillId="0" borderId="45" xfId="0" applyNumberFormat="1" applyFont="1" applyFill="1" applyBorder="1" applyAlignment="1">
      <alignment horizontal="center"/>
    </xf>
    <xf numFmtId="177" fontId="6" fillId="0" borderId="40" xfId="0" applyNumberFormat="1" applyFont="1" applyFill="1" applyBorder="1" applyAlignment="1">
      <alignment horizontal="center"/>
    </xf>
    <xf numFmtId="0" fontId="6" fillId="0" borderId="46" xfId="0" applyNumberFormat="1" applyFont="1" applyFill="1" applyBorder="1" applyAlignment="1">
      <alignment horizontal="center"/>
    </xf>
    <xf numFmtId="178" fontId="6" fillId="0" borderId="40" xfId="0" applyNumberFormat="1" applyFont="1" applyFill="1" applyBorder="1" applyAlignment="1">
      <alignment horizontal="center"/>
    </xf>
    <xf numFmtId="2" fontId="6" fillId="0" borderId="45" xfId="0" applyNumberFormat="1" applyFont="1" applyFill="1" applyBorder="1" applyAlignment="1">
      <alignment horizontal="center"/>
    </xf>
    <xf numFmtId="0" fontId="6" fillId="0" borderId="35" xfId="0" applyNumberFormat="1" applyFont="1" applyFill="1" applyBorder="1" applyAlignment="1">
      <alignment horizontal="center"/>
    </xf>
    <xf numFmtId="180" fontId="6" fillId="0" borderId="15" xfId="0" applyNumberFormat="1" applyFont="1" applyFill="1" applyBorder="1" applyAlignment="1">
      <alignment horizontal="center"/>
    </xf>
    <xf numFmtId="49" fontId="4" fillId="0" borderId="16" xfId="0" applyNumberFormat="1" applyFont="1" applyFill="1" applyBorder="1" applyAlignment="1">
      <alignment horizontal="center"/>
    </xf>
    <xf numFmtId="49" fontId="6" fillId="0" borderId="5" xfId="0" applyNumberFormat="1" applyFont="1" applyFill="1" applyBorder="1"/>
    <xf numFmtId="177" fontId="6" fillId="0" borderId="5" xfId="0" applyNumberFormat="1" applyFont="1" applyFill="1" applyBorder="1" applyAlignment="1">
      <alignment horizontal="center"/>
    </xf>
    <xf numFmtId="49" fontId="5" fillId="0" borderId="5" xfId="0" applyNumberFormat="1" applyFont="1" applyFill="1" applyBorder="1"/>
    <xf numFmtId="178" fontId="6" fillId="0" borderId="45" xfId="0" applyNumberFormat="1" applyFont="1" applyFill="1" applyBorder="1" applyAlignment="1">
      <alignment horizontal="center"/>
    </xf>
    <xf numFmtId="1" fontId="6" fillId="0" borderId="37" xfId="0" applyNumberFormat="1" applyFont="1" applyFill="1" applyBorder="1" applyAlignment="1">
      <alignment horizontal="center"/>
    </xf>
    <xf numFmtId="178" fontId="6" fillId="0" borderId="38" xfId="0" applyNumberFormat="1" applyFont="1" applyFill="1" applyBorder="1" applyAlignment="1">
      <alignment horizontal="center"/>
    </xf>
    <xf numFmtId="49" fontId="6" fillId="0" borderId="10" xfId="0" applyNumberFormat="1" applyFont="1" applyBorder="1"/>
    <xf numFmtId="0" fontId="6" fillId="0" borderId="10" xfId="0" applyNumberFormat="1" applyFont="1" applyBorder="1" applyAlignment="1">
      <alignment horizontal="center"/>
    </xf>
    <xf numFmtId="49" fontId="6" fillId="0" borderId="10" xfId="0" applyNumberFormat="1" applyFont="1" applyBorder="1" applyAlignment="1">
      <alignment horizontal="center"/>
    </xf>
    <xf numFmtId="0" fontId="6" fillId="0" borderId="47" xfId="0" applyNumberFormat="1" applyFont="1" applyFill="1" applyBorder="1" applyAlignment="1">
      <alignment horizontal="center"/>
    </xf>
    <xf numFmtId="49" fontId="6" fillId="0" borderId="20" xfId="0" applyNumberFormat="1" applyFont="1" applyBorder="1"/>
    <xf numFmtId="0" fontId="6" fillId="0" borderId="20" xfId="0" applyNumberFormat="1" applyFont="1" applyBorder="1" applyAlignment="1">
      <alignment horizontal="center"/>
    </xf>
    <xf numFmtId="49" fontId="6" fillId="0" borderId="20" xfId="0" applyNumberFormat="1" applyFont="1" applyBorder="1" applyAlignment="1">
      <alignment horizontal="center"/>
    </xf>
    <xf numFmtId="49" fontId="7" fillId="0" borderId="15" xfId="0" applyNumberFormat="1" applyFont="1" applyFill="1" applyBorder="1" applyAlignment="1">
      <alignment horizontal="center"/>
    </xf>
    <xf numFmtId="49" fontId="7" fillId="0" borderId="36" xfId="0" applyNumberFormat="1" applyFont="1" applyFill="1" applyBorder="1" applyAlignment="1">
      <alignment horizontal="center"/>
    </xf>
    <xf numFmtId="49" fontId="7" fillId="0" borderId="16" xfId="0" applyNumberFormat="1" applyFont="1" applyFill="1" applyBorder="1" applyAlignment="1">
      <alignment horizontal="center"/>
    </xf>
    <xf numFmtId="49" fontId="7" fillId="0" borderId="17" xfId="0" applyNumberFormat="1" applyFont="1" applyFill="1" applyBorder="1" applyAlignment="1">
      <alignment horizontal="center"/>
    </xf>
    <xf numFmtId="176" fontId="6" fillId="0" borderId="45" xfId="0" applyNumberFormat="1" applyFont="1" applyFill="1" applyBorder="1" applyAlignment="1">
      <alignment horizontal="center"/>
    </xf>
    <xf numFmtId="49" fontId="7" fillId="0" borderId="46" xfId="0" applyNumberFormat="1" applyFont="1" applyFill="1" applyBorder="1" applyAlignment="1">
      <alignment horizontal="center"/>
    </xf>
    <xf numFmtId="2" fontId="6" fillId="0" borderId="37" xfId="0" applyNumberFormat="1" applyFont="1" applyFill="1" applyBorder="1" applyAlignment="1">
      <alignment horizontal="center"/>
    </xf>
    <xf numFmtId="181" fontId="6" fillId="0" borderId="15" xfId="0" applyNumberFormat="1" applyFont="1" applyFill="1" applyBorder="1" applyAlignment="1">
      <alignment horizontal="center"/>
    </xf>
    <xf numFmtId="181" fontId="6" fillId="0" borderId="27" xfId="0" applyNumberFormat="1" applyFont="1" applyFill="1" applyBorder="1" applyAlignment="1">
      <alignment horizontal="center"/>
    </xf>
    <xf numFmtId="181" fontId="6" fillId="0" borderId="17" xfId="0" applyNumberFormat="1" applyFont="1" applyFill="1" applyBorder="1" applyAlignment="1">
      <alignment horizontal="center"/>
    </xf>
    <xf numFmtId="181" fontId="6" fillId="0" borderId="37" xfId="0" applyNumberFormat="1" applyFont="1" applyFill="1" applyBorder="1" applyAlignment="1">
      <alignment horizontal="center"/>
    </xf>
    <xf numFmtId="49" fontId="7" fillId="0" borderId="37" xfId="0" applyNumberFormat="1" applyFont="1" applyFill="1" applyBorder="1" applyAlignment="1">
      <alignment horizontal="center"/>
    </xf>
    <xf numFmtId="176" fontId="6" fillId="0" borderId="37" xfId="0" applyNumberFormat="1" applyFont="1" applyFill="1" applyBorder="1" applyAlignment="1">
      <alignment horizontal="center"/>
    </xf>
    <xf numFmtId="179" fontId="6" fillId="0" borderId="37" xfId="0" applyNumberFormat="1" applyFont="1" applyFill="1" applyBorder="1" applyAlignment="1">
      <alignment horizontal="center"/>
    </xf>
    <xf numFmtId="179" fontId="6" fillId="0" borderId="15" xfId="0" applyNumberFormat="1" applyFont="1" applyFill="1" applyBorder="1" applyAlignment="1">
      <alignment horizontal="center"/>
    </xf>
    <xf numFmtId="179" fontId="6" fillId="0" borderId="17" xfId="0" applyNumberFormat="1" applyFont="1" applyFill="1" applyBorder="1" applyAlignment="1">
      <alignment horizontal="center"/>
    </xf>
    <xf numFmtId="181" fontId="6" fillId="0" borderId="40" xfId="0" applyNumberFormat="1" applyFont="1" applyFill="1" applyBorder="1" applyAlignment="1">
      <alignment horizontal="center"/>
    </xf>
    <xf numFmtId="49" fontId="5" fillId="0" borderId="31" xfId="0" applyNumberFormat="1" applyFont="1" applyFill="1" applyBorder="1" applyAlignment="1"/>
    <xf numFmtId="2" fontId="6" fillId="0" borderId="36" xfId="0" applyNumberFormat="1" applyFont="1" applyFill="1" applyBorder="1" applyAlignment="1">
      <alignment horizontal="center"/>
    </xf>
    <xf numFmtId="2" fontId="6" fillId="0" borderId="44" xfId="0" applyNumberFormat="1" applyFont="1" applyFill="1" applyBorder="1" applyAlignment="1">
      <alignment horizontal="center"/>
    </xf>
    <xf numFmtId="2" fontId="6" fillId="0" borderId="28" xfId="0" applyNumberFormat="1" applyFont="1" applyFill="1" applyBorder="1" applyAlignment="1">
      <alignment horizontal="center"/>
    </xf>
    <xf numFmtId="2" fontId="6" fillId="0" borderId="46" xfId="0" applyNumberFormat="1" applyFont="1" applyFill="1" applyBorder="1" applyAlignment="1">
      <alignment horizontal="center"/>
    </xf>
    <xf numFmtId="49" fontId="6" fillId="0" borderId="26" xfId="0" applyNumberFormat="1" applyFont="1" applyFill="1" applyBorder="1" applyAlignment="1">
      <alignment horizontal="center" wrapText="1"/>
    </xf>
    <xf numFmtId="10" fontId="6" fillId="0" borderId="15" xfId="1" applyNumberFormat="1" applyFont="1" applyFill="1" applyBorder="1" applyAlignment="1">
      <alignment horizontal="center"/>
    </xf>
    <xf numFmtId="10" fontId="6" fillId="0" borderId="17" xfId="1" applyNumberFormat="1" applyFont="1" applyFill="1" applyBorder="1" applyAlignment="1">
      <alignment horizontal="center"/>
    </xf>
    <xf numFmtId="177" fontId="6" fillId="0" borderId="15" xfId="0" applyNumberFormat="1" applyFont="1" applyFill="1" applyBorder="1" applyAlignment="1">
      <alignment horizontal="center"/>
    </xf>
    <xf numFmtId="183" fontId="6" fillId="0" borderId="15" xfId="1" applyNumberFormat="1" applyFont="1" applyFill="1" applyBorder="1" applyAlignment="1">
      <alignment horizontal="center"/>
    </xf>
    <xf numFmtId="183" fontId="6" fillId="0" borderId="17" xfId="1" applyNumberFormat="1" applyFont="1" applyFill="1" applyBorder="1" applyAlignment="1">
      <alignment horizontal="center"/>
    </xf>
    <xf numFmtId="180" fontId="6" fillId="0" borderId="17" xfId="0" applyNumberFormat="1" applyFont="1" applyFill="1" applyBorder="1" applyAlignment="1">
      <alignment horizontal="center"/>
    </xf>
    <xf numFmtId="180" fontId="6" fillId="0" borderId="27" xfId="0" applyNumberFormat="1" applyFont="1" applyFill="1" applyBorder="1" applyAlignment="1">
      <alignment horizontal="center"/>
    </xf>
    <xf numFmtId="180" fontId="6" fillId="0" borderId="37" xfId="0" applyNumberFormat="1" applyFont="1" applyFill="1" applyBorder="1" applyAlignment="1">
      <alignment horizontal="center"/>
    </xf>
    <xf numFmtId="177" fontId="6" fillId="0" borderId="37" xfId="0" applyNumberFormat="1" applyFont="1" applyFill="1" applyBorder="1" applyAlignment="1">
      <alignment horizontal="center"/>
    </xf>
    <xf numFmtId="0" fontId="9" fillId="0" borderId="0" xfId="0" applyFont="1"/>
    <xf numFmtId="181" fontId="6" fillId="0" borderId="45" xfId="0" applyNumberFormat="1" applyFont="1" applyFill="1" applyBorder="1" applyAlignment="1">
      <alignment horizontal="center"/>
    </xf>
    <xf numFmtId="181" fontId="6" fillId="0" borderId="12" xfId="0" applyNumberFormat="1" applyFont="1" applyFill="1" applyBorder="1" applyAlignment="1">
      <alignment horizontal="center"/>
    </xf>
    <xf numFmtId="182" fontId="6" fillId="0" borderId="40" xfId="0" applyNumberFormat="1" applyFont="1" applyFill="1" applyBorder="1" applyAlignment="1">
      <alignment horizontal="center"/>
    </xf>
    <xf numFmtId="182" fontId="6" fillId="0" borderId="45" xfId="0" applyNumberFormat="1" applyFont="1" applyFill="1" applyBorder="1" applyAlignment="1">
      <alignment horizontal="center"/>
    </xf>
    <xf numFmtId="49" fontId="11" fillId="0" borderId="15" xfId="0" applyNumberFormat="1" applyFont="1" applyFill="1" applyBorder="1" applyAlignment="1">
      <alignment horizontal="center"/>
    </xf>
    <xf numFmtId="49" fontId="11" fillId="0" borderId="17" xfId="0" applyNumberFormat="1" applyFont="1" applyFill="1" applyBorder="1" applyAlignment="1">
      <alignment horizontal="center"/>
    </xf>
    <xf numFmtId="49" fontId="9" fillId="0" borderId="0" xfId="0" applyNumberFormat="1" applyFont="1" applyAlignment="1">
      <alignment horizontal="center"/>
    </xf>
    <xf numFmtId="49" fontId="13" fillId="0" borderId="26" xfId="0" applyNumberFormat="1" applyFont="1" applyFill="1" applyBorder="1" applyAlignment="1">
      <alignment horizontal="center"/>
    </xf>
    <xf numFmtId="1" fontId="6" fillId="0" borderId="15" xfId="1" applyNumberFormat="1" applyFont="1" applyFill="1" applyBorder="1" applyAlignment="1">
      <alignment horizontal="center"/>
    </xf>
    <xf numFmtId="177" fontId="6" fillId="0" borderId="15" xfId="1" applyNumberFormat="1" applyFont="1" applyFill="1" applyBorder="1" applyAlignment="1">
      <alignment horizontal="center"/>
    </xf>
    <xf numFmtId="177" fontId="6" fillId="0" borderId="17" xfId="1" applyNumberFormat="1" applyFont="1" applyFill="1" applyBorder="1" applyAlignment="1">
      <alignment horizontal="center"/>
    </xf>
    <xf numFmtId="1" fontId="6" fillId="0" borderId="17" xfId="1" applyNumberFormat="1" applyFont="1" applyFill="1" applyBorder="1" applyAlignment="1">
      <alignment horizontal="center"/>
    </xf>
    <xf numFmtId="180" fontId="6" fillId="0" borderId="15" xfId="1" applyNumberFormat="1" applyFont="1" applyFill="1" applyBorder="1" applyAlignment="1">
      <alignment horizontal="center"/>
    </xf>
    <xf numFmtId="180" fontId="6" fillId="0" borderId="17" xfId="1" applyNumberFormat="1" applyFont="1" applyFill="1" applyBorder="1" applyAlignment="1">
      <alignment horizontal="center"/>
    </xf>
    <xf numFmtId="176" fontId="6" fillId="0" borderId="15" xfId="1" applyNumberFormat="1" applyFont="1" applyFill="1" applyBorder="1" applyAlignment="1">
      <alignment horizontal="center"/>
    </xf>
    <xf numFmtId="2" fontId="6" fillId="0" borderId="15" xfId="1" applyNumberFormat="1" applyFont="1" applyFill="1" applyBorder="1" applyAlignment="1">
      <alignment horizontal="center"/>
    </xf>
    <xf numFmtId="176" fontId="6" fillId="0" borderId="17" xfId="1" applyNumberFormat="1" applyFont="1" applyFill="1" applyBorder="1" applyAlignment="1">
      <alignment horizontal="center"/>
    </xf>
    <xf numFmtId="2" fontId="6" fillId="0" borderId="17" xfId="1" applyNumberFormat="1" applyFont="1" applyFill="1" applyBorder="1" applyAlignment="1">
      <alignment horizontal="center"/>
    </xf>
    <xf numFmtId="178" fontId="6" fillId="0" borderId="41" xfId="0" applyNumberFormat="1" applyFont="1" applyFill="1" applyBorder="1" applyAlignment="1">
      <alignment horizontal="center"/>
    </xf>
    <xf numFmtId="49" fontId="13" fillId="0" borderId="48" xfId="0" applyNumberFormat="1" applyFont="1" applyFill="1" applyBorder="1" applyAlignment="1">
      <alignment horizontal="center"/>
    </xf>
    <xf numFmtId="49" fontId="13" fillId="0" borderId="49" xfId="0" applyNumberFormat="1" applyFont="1" applyFill="1" applyBorder="1" applyAlignment="1">
      <alignment horizontal="center"/>
    </xf>
    <xf numFmtId="49" fontId="13" fillId="0" borderId="50" xfId="0" applyNumberFormat="1" applyFont="1" applyFill="1" applyBorder="1" applyAlignment="1">
      <alignment horizontal="center"/>
    </xf>
    <xf numFmtId="49" fontId="13" fillId="0" borderId="51" xfId="0" applyNumberFormat="1" applyFont="1" applyFill="1" applyBorder="1" applyAlignment="1">
      <alignment horizontal="center"/>
    </xf>
    <xf numFmtId="49" fontId="13" fillId="0" borderId="52" xfId="0" applyNumberFormat="1" applyFont="1" applyFill="1" applyBorder="1" applyAlignment="1">
      <alignment horizontal="center"/>
    </xf>
    <xf numFmtId="177" fontId="6" fillId="0" borderId="45" xfId="0" applyNumberFormat="1" applyFont="1" applyFill="1" applyBorder="1" applyAlignment="1">
      <alignment horizontal="center"/>
    </xf>
    <xf numFmtId="49" fontId="6" fillId="0" borderId="0" xfId="0" applyNumberFormat="1" applyFont="1" applyBorder="1" applyAlignment="1">
      <alignment horizontal="center"/>
    </xf>
    <xf numFmtId="49" fontId="0" fillId="0" borderId="0" xfId="0" applyNumberFormat="1" applyBorder="1"/>
    <xf numFmtId="49" fontId="4" fillId="0" borderId="12" xfId="0" applyNumberFormat="1" applyFont="1" applyFill="1" applyBorder="1" applyAlignment="1">
      <alignment horizontal="center"/>
    </xf>
    <xf numFmtId="0" fontId="4" fillId="0" borderId="29" xfId="0" applyNumberFormat="1" applyFont="1" applyFill="1" applyBorder="1" applyAlignment="1">
      <alignment horizontal="center"/>
    </xf>
    <xf numFmtId="49" fontId="4" fillId="0" borderId="13" xfId="0" applyNumberFormat="1" applyFont="1" applyFill="1" applyBorder="1" applyAlignment="1">
      <alignment horizontal="center"/>
    </xf>
    <xf numFmtId="49" fontId="11" fillId="0" borderId="12" xfId="0" applyNumberFormat="1" applyFont="1" applyFill="1" applyBorder="1" applyAlignment="1">
      <alignment horizontal="center"/>
    </xf>
    <xf numFmtId="0" fontId="4" fillId="0" borderId="47" xfId="0" applyNumberFormat="1" applyFont="1" applyFill="1" applyBorder="1" applyAlignment="1">
      <alignment horizontal="center"/>
    </xf>
    <xf numFmtId="49" fontId="7" fillId="0" borderId="12" xfId="0" applyNumberFormat="1" applyFont="1" applyFill="1" applyBorder="1" applyAlignment="1">
      <alignment horizontal="center"/>
    </xf>
    <xf numFmtId="49" fontId="4" fillId="0" borderId="15" xfId="0" applyNumberFormat="1" applyFont="1" applyFill="1" applyBorder="1" applyAlignment="1">
      <alignment horizontal="center"/>
    </xf>
    <xf numFmtId="49" fontId="4" fillId="0" borderId="17" xfId="0" applyNumberFormat="1" applyFont="1" applyFill="1" applyBorder="1" applyAlignment="1">
      <alignment horizontal="center"/>
    </xf>
    <xf numFmtId="49" fontId="4" fillId="0" borderId="39" xfId="0" applyNumberFormat="1" applyFont="1" applyFill="1" applyBorder="1" applyAlignment="1">
      <alignment horizontal="center"/>
    </xf>
    <xf numFmtId="49" fontId="4" fillId="0" borderId="18" xfId="0" applyNumberFormat="1" applyFont="1" applyFill="1" applyBorder="1" applyAlignment="1">
      <alignment horizontal="center"/>
    </xf>
    <xf numFmtId="177" fontId="4" fillId="0" borderId="12" xfId="0" applyNumberFormat="1" applyFont="1" applyFill="1" applyBorder="1" applyAlignment="1">
      <alignment horizontal="center"/>
    </xf>
    <xf numFmtId="0" fontId="4" fillId="0" borderId="12" xfId="0" applyNumberFormat="1" applyFont="1" applyFill="1" applyBorder="1" applyAlignment="1">
      <alignment horizontal="center"/>
    </xf>
    <xf numFmtId="0" fontId="4" fillId="0" borderId="13" xfId="0" applyNumberFormat="1" applyFont="1" applyFill="1" applyBorder="1" applyAlignment="1">
      <alignment horizontal="center"/>
    </xf>
    <xf numFmtId="0" fontId="4" fillId="0" borderId="32" xfId="0" applyNumberFormat="1" applyFont="1" applyFill="1" applyBorder="1" applyAlignment="1">
      <alignment horizontal="center"/>
    </xf>
    <xf numFmtId="49" fontId="9" fillId="0" borderId="0" xfId="0" applyNumberFormat="1" applyFont="1"/>
    <xf numFmtId="0" fontId="9" fillId="0" borderId="0" xfId="0" applyNumberFormat="1" applyFont="1" applyAlignment="1">
      <alignment horizontal="center"/>
    </xf>
    <xf numFmtId="49" fontId="4" fillId="0" borderId="26" xfId="0" applyNumberFormat="1" applyFont="1" applyFill="1" applyBorder="1" applyAlignment="1">
      <alignment horizontal="center"/>
    </xf>
    <xf numFmtId="49" fontId="4" fillId="0" borderId="27" xfId="0" applyNumberFormat="1" applyFont="1" applyFill="1" applyBorder="1" applyAlignment="1">
      <alignment horizontal="center"/>
    </xf>
    <xf numFmtId="176" fontId="4" fillId="0" borderId="15" xfId="0" applyNumberFormat="1" applyFont="1" applyFill="1" applyBorder="1" applyAlignment="1">
      <alignment horizontal="center"/>
    </xf>
    <xf numFmtId="176" fontId="4" fillId="0" borderId="40" xfId="0" applyNumberFormat="1" applyFont="1" applyFill="1" applyBorder="1" applyAlignment="1">
      <alignment horizontal="center"/>
    </xf>
    <xf numFmtId="0" fontId="4" fillId="0" borderId="36" xfId="0" applyNumberFormat="1" applyFont="1" applyFill="1" applyBorder="1" applyAlignment="1">
      <alignment horizontal="center"/>
    </xf>
    <xf numFmtId="49" fontId="4" fillId="0" borderId="14" xfId="0" applyNumberFormat="1" applyFont="1" applyFill="1" applyBorder="1" applyAlignment="1">
      <alignment horizontal="center"/>
    </xf>
    <xf numFmtId="0" fontId="4" fillId="0" borderId="44" xfId="0" applyNumberFormat="1" applyFont="1" applyFill="1" applyBorder="1" applyAlignment="1">
      <alignment horizontal="center"/>
    </xf>
    <xf numFmtId="176" fontId="4" fillId="0" borderId="17" xfId="0" applyNumberFormat="1" applyFont="1" applyFill="1" applyBorder="1" applyAlignment="1">
      <alignment horizontal="center"/>
    </xf>
    <xf numFmtId="0" fontId="4" fillId="0" borderId="28" xfId="0" applyNumberFormat="1" applyFont="1" applyFill="1" applyBorder="1" applyAlignment="1">
      <alignment horizontal="center"/>
    </xf>
    <xf numFmtId="2" fontId="4" fillId="0" borderId="15" xfId="0" applyNumberFormat="1" applyFont="1" applyFill="1" applyBorder="1" applyAlignment="1">
      <alignment horizontal="center"/>
    </xf>
    <xf numFmtId="177" fontId="4" fillId="0" borderId="27" xfId="0" applyNumberFormat="1" applyFont="1" applyFill="1" applyBorder="1" applyAlignment="1">
      <alignment horizontal="center"/>
    </xf>
    <xf numFmtId="2" fontId="4" fillId="0" borderId="27" xfId="0" applyNumberFormat="1" applyFont="1" applyFill="1" applyBorder="1" applyAlignment="1">
      <alignment horizontal="center"/>
    </xf>
    <xf numFmtId="177" fontId="4" fillId="0" borderId="40" xfId="0" applyNumberFormat="1" applyFont="1" applyFill="1" applyBorder="1" applyAlignment="1">
      <alignment horizontal="center"/>
    </xf>
    <xf numFmtId="49" fontId="4" fillId="0" borderId="24" xfId="0" applyNumberFormat="1" applyFont="1" applyFill="1" applyBorder="1" applyAlignment="1">
      <alignment horizontal="center"/>
    </xf>
    <xf numFmtId="49" fontId="4" fillId="0" borderId="37" xfId="0" applyNumberFormat="1" applyFont="1" applyFill="1" applyBorder="1" applyAlignment="1">
      <alignment horizontal="center"/>
    </xf>
    <xf numFmtId="2" fontId="4" fillId="0" borderId="17" xfId="0" applyNumberFormat="1" applyFont="1" applyFill="1" applyBorder="1" applyAlignment="1">
      <alignment horizontal="center"/>
    </xf>
    <xf numFmtId="177" fontId="4" fillId="0" borderId="37" xfId="0" applyNumberFormat="1" applyFont="1" applyFill="1" applyBorder="1" applyAlignment="1">
      <alignment horizontal="center"/>
    </xf>
    <xf numFmtId="177" fontId="4" fillId="0" borderId="17" xfId="0" applyNumberFormat="1" applyFont="1" applyFill="1" applyBorder="1" applyAlignment="1">
      <alignment horizontal="center"/>
    </xf>
    <xf numFmtId="49" fontId="4" fillId="0" borderId="47" xfId="0" applyNumberFormat="1" applyFont="1" applyFill="1" applyBorder="1" applyAlignment="1">
      <alignment horizontal="center"/>
    </xf>
    <xf numFmtId="1" fontId="4" fillId="0" borderId="15" xfId="0" applyNumberFormat="1" applyFont="1" applyFill="1" applyBorder="1" applyAlignment="1">
      <alignment horizontal="center"/>
    </xf>
    <xf numFmtId="1" fontId="4" fillId="0" borderId="15" xfId="1" applyNumberFormat="1" applyFont="1" applyFill="1" applyBorder="1" applyAlignment="1">
      <alignment horizontal="center"/>
    </xf>
    <xf numFmtId="49" fontId="4" fillId="0" borderId="36" xfId="0" applyNumberFormat="1" applyFont="1" applyFill="1" applyBorder="1" applyAlignment="1">
      <alignment horizontal="center"/>
    </xf>
    <xf numFmtId="49" fontId="4" fillId="0" borderId="44" xfId="0" applyNumberFormat="1" applyFont="1" applyFill="1" applyBorder="1" applyAlignment="1">
      <alignment horizontal="center"/>
    </xf>
    <xf numFmtId="49" fontId="4" fillId="0" borderId="14" xfId="0" applyNumberFormat="1" applyFont="1" applyBorder="1" applyAlignment="1">
      <alignment horizontal="center"/>
    </xf>
    <xf numFmtId="1" fontId="4" fillId="0" borderId="17" xfId="0" applyNumberFormat="1" applyFont="1" applyFill="1" applyBorder="1" applyAlignment="1">
      <alignment horizontal="center"/>
    </xf>
    <xf numFmtId="1" fontId="4" fillId="0" borderId="17" xfId="1" applyNumberFormat="1" applyFont="1" applyFill="1" applyBorder="1" applyAlignment="1">
      <alignment horizontal="center"/>
    </xf>
    <xf numFmtId="49" fontId="4" fillId="0" borderId="28" xfId="0" applyNumberFormat="1" applyFont="1" applyFill="1" applyBorder="1" applyAlignment="1">
      <alignment horizontal="center"/>
    </xf>
    <xf numFmtId="178" fontId="4" fillId="0" borderId="15" xfId="1" applyNumberFormat="1" applyFont="1" applyFill="1" applyBorder="1" applyAlignment="1">
      <alignment horizontal="center"/>
    </xf>
    <xf numFmtId="2" fontId="4" fillId="0" borderId="36" xfId="0" applyNumberFormat="1" applyFont="1" applyFill="1" applyBorder="1" applyAlignment="1">
      <alignment horizontal="center"/>
    </xf>
    <xf numFmtId="178" fontId="4" fillId="0" borderId="17" xfId="1" applyNumberFormat="1" applyFont="1" applyFill="1" applyBorder="1" applyAlignment="1">
      <alignment horizontal="center"/>
    </xf>
    <xf numFmtId="2" fontId="4" fillId="0" borderId="46" xfId="0" applyNumberFormat="1" applyFont="1" applyFill="1" applyBorder="1" applyAlignment="1">
      <alignment horizontal="center"/>
    </xf>
    <xf numFmtId="2" fontId="4" fillId="0" borderId="40" xfId="0" applyNumberFormat="1" applyFont="1" applyFill="1" applyBorder="1" applyAlignment="1">
      <alignment horizontal="center"/>
    </xf>
    <xf numFmtId="2" fontId="4" fillId="0" borderId="45" xfId="0" applyNumberFormat="1" applyFont="1" applyFill="1" applyBorder="1" applyAlignment="1">
      <alignment horizontal="center"/>
    </xf>
    <xf numFmtId="0" fontId="4" fillId="0" borderId="46" xfId="0" applyNumberFormat="1" applyFont="1" applyFill="1" applyBorder="1" applyAlignment="1">
      <alignment horizontal="center"/>
    </xf>
    <xf numFmtId="2" fontId="4" fillId="0" borderId="29" xfId="0" applyNumberFormat="1" applyFont="1" applyFill="1" applyBorder="1" applyAlignment="1">
      <alignment horizontal="center"/>
    </xf>
    <xf numFmtId="176" fontId="4" fillId="0" borderId="15" xfId="1" applyNumberFormat="1" applyFont="1" applyFill="1" applyBorder="1" applyAlignment="1">
      <alignment horizontal="center"/>
    </xf>
    <xf numFmtId="49" fontId="4" fillId="0" borderId="25" xfId="0" applyNumberFormat="1" applyFont="1" applyBorder="1" applyAlignment="1">
      <alignment horizontal="center"/>
    </xf>
    <xf numFmtId="176" fontId="4" fillId="0" borderId="17" xfId="1" applyNumberFormat="1" applyFont="1" applyFill="1" applyBorder="1" applyAlignment="1">
      <alignment horizontal="center"/>
    </xf>
    <xf numFmtId="2" fontId="4" fillId="0" borderId="15" xfId="1" applyNumberFormat="1" applyFont="1" applyFill="1" applyBorder="1" applyAlignment="1">
      <alignment horizontal="center"/>
    </xf>
    <xf numFmtId="2" fontId="4" fillId="0" borderId="17" xfId="1" applyNumberFormat="1" applyFont="1" applyFill="1" applyBorder="1" applyAlignment="1">
      <alignment horizontal="center"/>
    </xf>
    <xf numFmtId="49" fontId="4" fillId="0" borderId="1" xfId="0" applyNumberFormat="1" applyFont="1" applyFill="1" applyBorder="1" applyAlignment="1">
      <alignment horizontal="center"/>
    </xf>
    <xf numFmtId="49" fontId="4" fillId="0" borderId="2" xfId="0" applyNumberFormat="1" applyFont="1" applyFill="1" applyBorder="1" applyAlignment="1">
      <alignment horizontal="center"/>
    </xf>
    <xf numFmtId="2" fontId="4" fillId="0" borderId="3" xfId="0" applyNumberFormat="1" applyFont="1" applyFill="1" applyBorder="1" applyAlignment="1">
      <alignment horizontal="center"/>
    </xf>
    <xf numFmtId="49" fontId="4" fillId="0" borderId="5" xfId="0" applyNumberFormat="1" applyFont="1" applyFill="1" applyBorder="1" applyAlignment="1">
      <alignment horizontal="center"/>
    </xf>
    <xf numFmtId="2" fontId="4" fillId="0" borderId="6" xfId="0" applyNumberFormat="1" applyFont="1" applyFill="1" applyBorder="1" applyAlignment="1">
      <alignment horizontal="center"/>
    </xf>
    <xf numFmtId="49" fontId="7" fillId="0" borderId="5" xfId="0" applyNumberFormat="1" applyFont="1" applyFill="1" applyBorder="1" applyAlignment="1">
      <alignment horizontal="center"/>
    </xf>
    <xf numFmtId="49" fontId="4" fillId="0" borderId="8" xfId="0" applyNumberFormat="1" applyFont="1" applyFill="1" applyBorder="1" applyAlignment="1">
      <alignment horizontal="center"/>
    </xf>
    <xf numFmtId="49" fontId="7" fillId="0" borderId="8" xfId="0" applyNumberFormat="1" applyFont="1" applyFill="1" applyBorder="1" applyAlignment="1">
      <alignment horizontal="center"/>
    </xf>
    <xf numFmtId="2" fontId="4" fillId="0" borderId="9" xfId="0" applyNumberFormat="1" applyFont="1" applyFill="1" applyBorder="1" applyAlignment="1">
      <alignment horizontal="center"/>
    </xf>
    <xf numFmtId="176" fontId="4" fillId="0" borderId="41" xfId="0" applyNumberFormat="1" applyFont="1" applyFill="1" applyBorder="1" applyAlignment="1">
      <alignment horizontal="center"/>
    </xf>
    <xf numFmtId="176" fontId="4" fillId="0" borderId="45" xfId="0" applyNumberFormat="1" applyFont="1" applyFill="1" applyBorder="1" applyAlignment="1">
      <alignment horizontal="center"/>
    </xf>
    <xf numFmtId="49" fontId="12" fillId="0" borderId="39" xfId="0" applyNumberFormat="1" applyFont="1" applyFill="1" applyBorder="1" applyAlignment="1">
      <alignment horizontal="center"/>
    </xf>
    <xf numFmtId="49" fontId="12" fillId="0" borderId="18" xfId="0" applyNumberFormat="1" applyFont="1" applyFill="1" applyBorder="1" applyAlignment="1">
      <alignment horizontal="center"/>
    </xf>
    <xf numFmtId="49" fontId="12" fillId="0" borderId="13" xfId="0" applyNumberFormat="1" applyFont="1" applyFill="1" applyBorder="1" applyAlignment="1">
      <alignment horizontal="center"/>
    </xf>
    <xf numFmtId="177" fontId="12" fillId="0" borderId="12" xfId="0" applyNumberFormat="1" applyFont="1" applyFill="1" applyBorder="1" applyAlignment="1">
      <alignment horizontal="center"/>
    </xf>
    <xf numFmtId="0" fontId="12" fillId="0" borderId="12" xfId="0" applyNumberFormat="1" applyFont="1" applyFill="1" applyBorder="1" applyAlignment="1">
      <alignment horizontal="center"/>
    </xf>
    <xf numFmtId="0" fontId="12" fillId="0" borderId="13" xfId="0" applyNumberFormat="1" applyFont="1" applyFill="1" applyBorder="1" applyAlignment="1">
      <alignment horizontal="center"/>
    </xf>
    <xf numFmtId="0" fontId="12" fillId="0" borderId="47" xfId="0" applyNumberFormat="1" applyFont="1" applyFill="1" applyBorder="1" applyAlignment="1">
      <alignment horizontal="center"/>
    </xf>
    <xf numFmtId="49" fontId="15" fillId="0" borderId="0" xfId="0" applyNumberFormat="1" applyFont="1"/>
    <xf numFmtId="0" fontId="15" fillId="0" borderId="0" xfId="0" applyNumberFormat="1" applyFont="1" applyAlignment="1">
      <alignment horizontal="center"/>
    </xf>
    <xf numFmtId="49" fontId="15" fillId="0" borderId="0" xfId="0" applyNumberFormat="1" applyFont="1" applyAlignment="1">
      <alignment horizontal="center"/>
    </xf>
    <xf numFmtId="49" fontId="12" fillId="0" borderId="26" xfId="0" applyNumberFormat="1" applyFont="1" applyFill="1" applyBorder="1" applyAlignment="1">
      <alignment horizontal="center"/>
    </xf>
    <xf numFmtId="49" fontId="12" fillId="0" borderId="27" xfId="0" applyNumberFormat="1" applyFont="1" applyFill="1" applyBorder="1" applyAlignment="1">
      <alignment horizontal="center"/>
    </xf>
    <xf numFmtId="1" fontId="12" fillId="0" borderId="15" xfId="0" applyNumberFormat="1" applyFont="1" applyFill="1" applyBorder="1" applyAlignment="1">
      <alignment horizontal="center"/>
    </xf>
    <xf numFmtId="176" fontId="12" fillId="0" borderId="41" xfId="0" applyNumberFormat="1" applyFont="1" applyFill="1" applyBorder="1" applyAlignment="1">
      <alignment horizontal="center"/>
    </xf>
    <xf numFmtId="0" fontId="12" fillId="0" borderId="44" xfId="0" applyNumberFormat="1" applyFont="1" applyFill="1" applyBorder="1" applyAlignment="1">
      <alignment horizontal="center"/>
    </xf>
    <xf numFmtId="49" fontId="12" fillId="0" borderId="14" xfId="0" applyNumberFormat="1" applyFont="1" applyFill="1" applyBorder="1" applyAlignment="1">
      <alignment horizontal="center"/>
    </xf>
    <xf numFmtId="49" fontId="12" fillId="0" borderId="15" xfId="0" applyNumberFormat="1" applyFont="1" applyFill="1" applyBorder="1" applyAlignment="1">
      <alignment horizontal="center"/>
    </xf>
    <xf numFmtId="49" fontId="12" fillId="0" borderId="14" xfId="0" applyNumberFormat="1" applyFont="1" applyBorder="1" applyAlignment="1">
      <alignment horizontal="center"/>
    </xf>
    <xf numFmtId="49" fontId="12" fillId="0" borderId="16" xfId="0" applyNumberFormat="1" applyFont="1" applyFill="1" applyBorder="1" applyAlignment="1">
      <alignment horizontal="center"/>
    </xf>
    <xf numFmtId="49" fontId="12" fillId="0" borderId="16" xfId="0" applyNumberFormat="1" applyFont="1" applyBorder="1" applyAlignment="1">
      <alignment horizontal="center"/>
    </xf>
    <xf numFmtId="49" fontId="12" fillId="0" borderId="17" xfId="0" applyNumberFormat="1" applyFont="1" applyFill="1" applyBorder="1" applyAlignment="1">
      <alignment horizontal="center"/>
    </xf>
    <xf numFmtId="1" fontId="12" fillId="0" borderId="17" xfId="0" applyNumberFormat="1" applyFont="1" applyFill="1" applyBorder="1" applyAlignment="1">
      <alignment horizontal="center"/>
    </xf>
    <xf numFmtId="176" fontId="12" fillId="0" borderId="45" xfId="0" applyNumberFormat="1" applyFont="1" applyFill="1" applyBorder="1" applyAlignment="1">
      <alignment horizontal="center"/>
    </xf>
    <xf numFmtId="0" fontId="12" fillId="0" borderId="46" xfId="0" applyNumberFormat="1" applyFont="1" applyFill="1" applyBorder="1" applyAlignment="1">
      <alignment horizontal="center"/>
    </xf>
    <xf numFmtId="49" fontId="4" fillId="0" borderId="26" xfId="0" applyNumberFormat="1" applyFont="1" applyBorder="1" applyAlignment="1">
      <alignment horizontal="center"/>
    </xf>
    <xf numFmtId="0" fontId="18" fillId="0" borderId="21"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54" xfId="0" applyFont="1" applyBorder="1" applyAlignment="1">
      <alignment horizontal="center" vertical="center" wrapText="1"/>
    </xf>
    <xf numFmtId="0" fontId="17" fillId="0" borderId="55" xfId="0" applyFont="1" applyBorder="1" applyAlignment="1">
      <alignment horizontal="center" vertical="center" wrapText="1"/>
    </xf>
    <xf numFmtId="0" fontId="17" fillId="0" borderId="56" xfId="0" applyFont="1" applyBorder="1" applyAlignment="1">
      <alignment horizontal="center" vertical="center" wrapText="1"/>
    </xf>
    <xf numFmtId="0" fontId="17" fillId="0" borderId="19" xfId="0" applyFont="1" applyBorder="1" applyAlignment="1">
      <alignment horizontal="center" vertical="center" wrapText="1"/>
    </xf>
    <xf numFmtId="0" fontId="0" fillId="0" borderId="0" xfId="0" applyAlignment="1">
      <alignment horizontal="right"/>
    </xf>
    <xf numFmtId="0" fontId="10" fillId="0" borderId="0" xfId="0" applyFont="1"/>
    <xf numFmtId="0" fontId="10" fillId="0" borderId="15" xfId="0" applyFont="1" applyBorder="1"/>
    <xf numFmtId="0" fontId="0" fillId="0" borderId="15" xfId="0" applyBorder="1"/>
    <xf numFmtId="0" fontId="0" fillId="0" borderId="15" xfId="0" applyBorder="1" applyAlignment="1">
      <alignment horizontal="left"/>
    </xf>
    <xf numFmtId="49" fontId="13" fillId="0" borderId="4" xfId="0" applyNumberFormat="1" applyFont="1" applyFill="1" applyBorder="1" applyAlignment="1">
      <alignment horizontal="center"/>
    </xf>
    <xf numFmtId="49" fontId="13" fillId="0" borderId="7" xfId="0" applyNumberFormat="1" applyFont="1" applyFill="1" applyBorder="1" applyAlignment="1">
      <alignment horizontal="center"/>
    </xf>
    <xf numFmtId="49" fontId="12" fillId="0" borderId="24" xfId="0" applyNumberFormat="1" applyFont="1" applyFill="1" applyBorder="1" applyAlignment="1">
      <alignment horizontal="center"/>
    </xf>
    <xf numFmtId="49" fontId="12" fillId="0" borderId="12" xfId="0" applyNumberFormat="1" applyFont="1" applyFill="1" applyBorder="1" applyAlignment="1">
      <alignment horizontal="center"/>
    </xf>
    <xf numFmtId="0" fontId="12" fillId="0" borderId="29" xfId="0" applyNumberFormat="1" applyFont="1" applyFill="1" applyBorder="1" applyAlignment="1">
      <alignment horizontal="center"/>
    </xf>
    <xf numFmtId="2" fontId="12" fillId="0" borderId="40" xfId="0" applyNumberFormat="1" applyFont="1" applyFill="1" applyBorder="1" applyAlignment="1">
      <alignment horizontal="center"/>
    </xf>
    <xf numFmtId="2" fontId="12" fillId="0" borderId="36" xfId="0" applyNumberFormat="1" applyFont="1" applyFill="1" applyBorder="1" applyAlignment="1">
      <alignment horizontal="center"/>
    </xf>
    <xf numFmtId="49" fontId="12" fillId="0" borderId="27" xfId="0" applyNumberFormat="1" applyFont="1" applyBorder="1" applyAlignment="1">
      <alignment horizontal="center"/>
    </xf>
    <xf numFmtId="2" fontId="12" fillId="0" borderId="44" xfId="0" applyNumberFormat="1" applyFont="1" applyFill="1" applyBorder="1" applyAlignment="1">
      <alignment horizontal="center"/>
    </xf>
    <xf numFmtId="2" fontId="12" fillId="0" borderId="17" xfId="0" applyNumberFormat="1" applyFont="1" applyFill="1" applyBorder="1" applyAlignment="1">
      <alignment horizontal="center"/>
    </xf>
    <xf numFmtId="2" fontId="12" fillId="0" borderId="28" xfId="0" applyNumberFormat="1" applyFont="1" applyFill="1" applyBorder="1" applyAlignment="1">
      <alignment horizontal="center"/>
    </xf>
    <xf numFmtId="49" fontId="12" fillId="0" borderId="66" xfId="0" applyNumberFormat="1" applyFont="1" applyFill="1" applyBorder="1" applyAlignment="1">
      <alignment horizontal="center"/>
    </xf>
    <xf numFmtId="49" fontId="13" fillId="0" borderId="14" xfId="0" applyNumberFormat="1" applyFont="1" applyFill="1" applyBorder="1" applyAlignment="1">
      <alignment horizontal="center"/>
    </xf>
    <xf numFmtId="0" fontId="9" fillId="0" borderId="0" xfId="0" applyFont="1" applyAlignment="1">
      <alignment wrapText="1"/>
    </xf>
    <xf numFmtId="0" fontId="3" fillId="0" borderId="0" xfId="0" applyFont="1" applyAlignment="1">
      <alignment wrapText="1"/>
    </xf>
    <xf numFmtId="0" fontId="3" fillId="0" borderId="0" xfId="0" applyFont="1"/>
    <xf numFmtId="0" fontId="0" fillId="0" borderId="0" xfId="0" applyAlignment="1">
      <alignment wrapText="1"/>
    </xf>
    <xf numFmtId="0" fontId="9" fillId="0" borderId="0" xfId="0" applyFont="1" applyAlignment="1">
      <alignment wrapText="1"/>
    </xf>
    <xf numFmtId="0" fontId="3" fillId="0" borderId="0" xfId="0" applyFont="1" applyAlignment="1">
      <alignment wrapText="1"/>
    </xf>
  </cellXfs>
  <cellStyles count="53">
    <cellStyle name="20% - Accent1 2" xfId="23"/>
    <cellStyle name="20% - Accent2 2" xfId="27"/>
    <cellStyle name="20% - Accent3 2" xfId="31"/>
    <cellStyle name="20% - Accent4 2" xfId="35"/>
    <cellStyle name="20% - Accent5 2" xfId="39"/>
    <cellStyle name="20% - Accent6 2" xfId="43"/>
    <cellStyle name="40% - Accent1 2" xfId="24"/>
    <cellStyle name="40% - Accent2 2" xfId="28"/>
    <cellStyle name="40% - Accent3 2" xfId="32"/>
    <cellStyle name="40% - Accent4 2" xfId="36"/>
    <cellStyle name="40% - Accent5 2" xfId="40"/>
    <cellStyle name="40% - Accent6 2" xfId="44"/>
    <cellStyle name="60% - Accent1 2" xfId="25"/>
    <cellStyle name="60% - Accent2 2" xfId="29"/>
    <cellStyle name="60% - Accent3 2" xfId="33"/>
    <cellStyle name="60% - Accent4 2" xfId="37"/>
    <cellStyle name="60% - Accent5 2" xfId="41"/>
    <cellStyle name="60% - Accent6 2" xfId="45"/>
    <cellStyle name="Accent1 2" xfId="22"/>
    <cellStyle name="Accent2 2" xfId="26"/>
    <cellStyle name="Accent3 2" xfId="30"/>
    <cellStyle name="Accent4 2" xfId="34"/>
    <cellStyle name="Accent5 2" xfId="38"/>
    <cellStyle name="Accent6 2" xfId="42"/>
    <cellStyle name="Bad 2" xfId="11"/>
    <cellStyle name="Calculation 2" xfId="15"/>
    <cellStyle name="Check Cell 2" xfId="17"/>
    <cellStyle name="Explanatory Text 2" xfId="20"/>
    <cellStyle name="Good 2" xfId="10"/>
    <cellStyle name="Heading 1 2" xfId="6"/>
    <cellStyle name="Heading 2 2" xfId="7"/>
    <cellStyle name="Heading 3 2" xfId="8"/>
    <cellStyle name="Heading 4 2" xfId="9"/>
    <cellStyle name="Input 2" xfId="13"/>
    <cellStyle name="Linked Cell 2" xfId="16"/>
    <cellStyle name="Neutral 2" xfId="12"/>
    <cellStyle name="Normal 2" xfId="2"/>
    <cellStyle name="Normal 2 2" xfId="46"/>
    <cellStyle name="Normal 2 3" xfId="50"/>
    <cellStyle name="Normal 3" xfId="5"/>
    <cellStyle name="Normal 4" xfId="47"/>
    <cellStyle name="Normal 5" xfId="48"/>
    <cellStyle name="Normal 5 2" xfId="52"/>
    <cellStyle name="Normal 6" xfId="49"/>
    <cellStyle name="Note 2" xfId="19"/>
    <cellStyle name="Output 2" xfId="14"/>
    <cellStyle name="Percent 2" xfId="3"/>
    <cellStyle name="Percent 2 2" xfId="51"/>
    <cellStyle name="Total 2" xfId="21"/>
    <cellStyle name="Warning Text 2" xfId="18"/>
    <cellStyle name="百分比" xfId="1" builtinId="5"/>
    <cellStyle name="标题" xfId="4" builtinId="15" customBuiltin="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57150</xdr:rowOff>
        </xdr:from>
        <xdr:to>
          <xdr:col>8</xdr:col>
          <xdr:colOff>390525</xdr:colOff>
          <xdr:row>44</xdr:row>
          <xdr:rowOff>57150</xdr:rowOff>
        </xdr:to>
        <xdr:sp macro="" textlink="">
          <xdr:nvSpPr>
            <xdr:cNvPr id="3075" name="Object 3" hidden="1">
              <a:extLst>
                <a:ext uri="{63B3BB69-23CF-44E3-9099-C40C66FF867C}">
                  <a14:compatExt spid="_x0000_s3075"/>
                </a:ext>
                <a:ext uri="{FF2B5EF4-FFF2-40B4-BE49-F238E27FC236}">
                  <a16:creationId xmlns="" xmlns:a16="http://schemas.microsoft.com/office/drawing/2014/main" id="{00000000-0008-0000-0000-000003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G142"/>
  <sheetViews>
    <sheetView workbookViewId="0">
      <selection activeCell="K110" sqref="K110"/>
    </sheetView>
  </sheetViews>
  <sheetFormatPr defaultRowHeight="12.75" x14ac:dyDescent="0.35"/>
  <cols>
    <col min="3" max="3" width="25.3984375" customWidth="1"/>
    <col min="4" max="4" width="26.265625" customWidth="1"/>
    <col min="5" max="5" width="23.1328125" customWidth="1"/>
    <col min="6" max="6" width="32.265625" customWidth="1"/>
    <col min="7" max="7" width="31.86328125" customWidth="1"/>
  </cols>
  <sheetData>
    <row r="3" spans="1:7" x14ac:dyDescent="0.35">
      <c r="A3" s="144" t="s">
        <v>523</v>
      </c>
    </row>
    <row r="4" spans="1:7" x14ac:dyDescent="0.35">
      <c r="A4" t="s">
        <v>478</v>
      </c>
    </row>
    <row r="6" spans="1:7" x14ac:dyDescent="0.35">
      <c r="C6" s="144" t="s">
        <v>524</v>
      </c>
    </row>
    <row r="7" spans="1:7" ht="13.15" thickBot="1" x14ac:dyDescent="0.4"/>
    <row r="8" spans="1:7" ht="18.75" customHeight="1" thickTop="1" thickBot="1" x14ac:dyDescent="0.4">
      <c r="C8" s="264" t="s">
        <v>479</v>
      </c>
      <c r="D8" s="265" t="s">
        <v>480</v>
      </c>
      <c r="E8" s="265" t="s">
        <v>481</v>
      </c>
      <c r="F8" s="266" t="s">
        <v>482</v>
      </c>
    </row>
    <row r="9" spans="1:7" ht="21.75" customHeight="1" thickTop="1" thickBot="1" x14ac:dyDescent="0.4">
      <c r="C9" s="267" t="s">
        <v>483</v>
      </c>
      <c r="D9" s="268" t="s">
        <v>483</v>
      </c>
      <c r="E9" s="268" t="s">
        <v>483</v>
      </c>
      <c r="F9" s="269" t="s">
        <v>483</v>
      </c>
    </row>
    <row r="10" spans="1:7" ht="13.15" thickTop="1" x14ac:dyDescent="0.35"/>
    <row r="11" spans="1:7" x14ac:dyDescent="0.35">
      <c r="A11" s="144" t="s">
        <v>525</v>
      </c>
    </row>
    <row r="12" spans="1:7" ht="39.75" customHeight="1" x14ac:dyDescent="0.35">
      <c r="A12" s="291" t="s">
        <v>521</v>
      </c>
      <c r="B12" s="291"/>
      <c r="C12" s="291"/>
      <c r="D12" s="291"/>
      <c r="E12" s="291"/>
      <c r="F12" s="291"/>
      <c r="G12" s="291"/>
    </row>
    <row r="13" spans="1:7" x14ac:dyDescent="0.35">
      <c r="B13" t="s">
        <v>484</v>
      </c>
    </row>
    <row r="14" spans="1:7" x14ac:dyDescent="0.35">
      <c r="B14" t="s">
        <v>485</v>
      </c>
    </row>
    <row r="15" spans="1:7" x14ac:dyDescent="0.35">
      <c r="A15" s="144" t="s">
        <v>486</v>
      </c>
    </row>
    <row r="16" spans="1:7" ht="52.5" customHeight="1" x14ac:dyDescent="0.35">
      <c r="B16" s="291" t="s">
        <v>522</v>
      </c>
      <c r="C16" s="291"/>
      <c r="D16" s="291"/>
      <c r="E16" s="291"/>
      <c r="F16" s="291"/>
      <c r="G16" s="291"/>
    </row>
    <row r="17" spans="1:7" ht="30" customHeight="1" x14ac:dyDescent="0.35">
      <c r="B17" s="292" t="s">
        <v>526</v>
      </c>
      <c r="C17" s="292"/>
      <c r="D17" s="292"/>
      <c r="E17" s="292"/>
      <c r="F17" s="292"/>
      <c r="G17" s="292"/>
    </row>
    <row r="18" spans="1:7" ht="42" customHeight="1" x14ac:dyDescent="0.35">
      <c r="B18" s="292" t="s">
        <v>527</v>
      </c>
      <c r="C18" s="292"/>
      <c r="D18" s="292"/>
      <c r="E18" s="292"/>
      <c r="F18" s="292"/>
      <c r="G18" s="292"/>
    </row>
    <row r="19" spans="1:7" x14ac:dyDescent="0.35">
      <c r="A19" t="s">
        <v>487</v>
      </c>
    </row>
    <row r="20" spans="1:7" x14ac:dyDescent="0.35">
      <c r="B20" t="s">
        <v>488</v>
      </c>
    </row>
    <row r="21" spans="1:7" x14ac:dyDescent="0.35">
      <c r="A21" s="144" t="s">
        <v>528</v>
      </c>
    </row>
    <row r="22" spans="1:7" x14ac:dyDescent="0.35">
      <c r="A22" t="s">
        <v>489</v>
      </c>
    </row>
    <row r="46" spans="1:4" x14ac:dyDescent="0.35">
      <c r="D46" t="s">
        <v>518</v>
      </c>
    </row>
    <row r="47" spans="1:4" x14ac:dyDescent="0.35">
      <c r="A47" t="s">
        <v>490</v>
      </c>
    </row>
    <row r="48" spans="1:4" x14ac:dyDescent="0.35">
      <c r="A48">
        <v>1</v>
      </c>
      <c r="B48" t="s">
        <v>491</v>
      </c>
    </row>
    <row r="49" spans="1:2" x14ac:dyDescent="0.35">
      <c r="A49">
        <v>2</v>
      </c>
      <c r="B49" t="s">
        <v>492</v>
      </c>
    </row>
    <row r="50" spans="1:2" x14ac:dyDescent="0.35">
      <c r="A50">
        <v>3</v>
      </c>
      <c r="B50" t="s">
        <v>493</v>
      </c>
    </row>
    <row r="51" spans="1:2" x14ac:dyDescent="0.35">
      <c r="A51">
        <v>4</v>
      </c>
      <c r="B51" t="s">
        <v>494</v>
      </c>
    </row>
    <row r="52" spans="1:2" x14ac:dyDescent="0.35">
      <c r="A52">
        <v>5</v>
      </c>
      <c r="B52" t="s">
        <v>495</v>
      </c>
    </row>
    <row r="53" spans="1:2" x14ac:dyDescent="0.35">
      <c r="A53">
        <v>6</v>
      </c>
      <c r="B53" t="s">
        <v>496</v>
      </c>
    </row>
    <row r="54" spans="1:2" x14ac:dyDescent="0.35">
      <c r="A54">
        <v>7</v>
      </c>
      <c r="B54" t="s">
        <v>497</v>
      </c>
    </row>
    <row r="55" spans="1:2" x14ac:dyDescent="0.35">
      <c r="A55">
        <v>8</v>
      </c>
      <c r="B55" t="s">
        <v>498</v>
      </c>
    </row>
    <row r="56" spans="1:2" x14ac:dyDescent="0.35">
      <c r="A56">
        <v>9</v>
      </c>
      <c r="B56" t="s">
        <v>499</v>
      </c>
    </row>
    <row r="57" spans="1:2" x14ac:dyDescent="0.35">
      <c r="A57" s="270" t="s">
        <v>500</v>
      </c>
      <c r="B57" t="s">
        <v>501</v>
      </c>
    </row>
    <row r="58" spans="1:2" x14ac:dyDescent="0.35">
      <c r="A58" s="270" t="s">
        <v>502</v>
      </c>
      <c r="B58" t="s">
        <v>476</v>
      </c>
    </row>
    <row r="59" spans="1:2" x14ac:dyDescent="0.35">
      <c r="A59" s="270" t="s">
        <v>503</v>
      </c>
      <c r="B59" t="s">
        <v>504</v>
      </c>
    </row>
    <row r="60" spans="1:2" x14ac:dyDescent="0.35">
      <c r="A60" s="270" t="s">
        <v>505</v>
      </c>
      <c r="B60" t="s">
        <v>506</v>
      </c>
    </row>
    <row r="61" spans="1:2" x14ac:dyDescent="0.35">
      <c r="A61" s="270" t="s">
        <v>507</v>
      </c>
      <c r="B61" t="s">
        <v>508</v>
      </c>
    </row>
    <row r="62" spans="1:2" x14ac:dyDescent="0.35">
      <c r="A62" s="270" t="s">
        <v>509</v>
      </c>
      <c r="B62" t="s">
        <v>510</v>
      </c>
    </row>
    <row r="63" spans="1:2" x14ac:dyDescent="0.35">
      <c r="A63" s="270" t="s">
        <v>511</v>
      </c>
      <c r="B63" t="s">
        <v>172</v>
      </c>
    </row>
    <row r="64" spans="1:2" x14ac:dyDescent="0.35">
      <c r="A64" s="270" t="s">
        <v>512</v>
      </c>
      <c r="B64" t="s">
        <v>513</v>
      </c>
    </row>
    <row r="65" spans="1:2" x14ac:dyDescent="0.35">
      <c r="A65" s="270" t="s">
        <v>514</v>
      </c>
      <c r="B65" t="s">
        <v>515</v>
      </c>
    </row>
    <row r="66" spans="1:2" x14ac:dyDescent="0.35">
      <c r="A66" s="270" t="s">
        <v>516</v>
      </c>
      <c r="B66" t="s">
        <v>517</v>
      </c>
    </row>
    <row r="68" spans="1:2" x14ac:dyDescent="0.35">
      <c r="A68" s="144" t="s">
        <v>529</v>
      </c>
    </row>
    <row r="69" spans="1:2" x14ac:dyDescent="0.35">
      <c r="A69" t="s">
        <v>519</v>
      </c>
    </row>
    <row r="70" spans="1:2" x14ac:dyDescent="0.35">
      <c r="A70" t="s">
        <v>520</v>
      </c>
    </row>
    <row r="72" spans="1:2" x14ac:dyDescent="0.35">
      <c r="A72" s="144" t="s">
        <v>530</v>
      </c>
    </row>
    <row r="74" spans="1:2" ht="13.15" x14ac:dyDescent="0.4">
      <c r="A74" s="271" t="s">
        <v>531</v>
      </c>
    </row>
    <row r="75" spans="1:2" x14ac:dyDescent="0.35">
      <c r="B75" s="290" t="s">
        <v>583</v>
      </c>
    </row>
    <row r="76" spans="1:2" x14ac:dyDescent="0.35">
      <c r="B76" s="144" t="s">
        <v>555</v>
      </c>
    </row>
    <row r="77" spans="1:2" ht="14.25" x14ac:dyDescent="0.35">
      <c r="B77" s="290" t="s">
        <v>584</v>
      </c>
    </row>
    <row r="78" spans="1:2" x14ac:dyDescent="0.35">
      <c r="B78" s="144" t="s">
        <v>532</v>
      </c>
    </row>
    <row r="79" spans="1:2" x14ac:dyDescent="0.35">
      <c r="B79" s="290" t="s">
        <v>580</v>
      </c>
    </row>
    <row r="80" spans="1:2" ht="14.25" x14ac:dyDescent="0.35">
      <c r="B80" s="144" t="s">
        <v>533</v>
      </c>
    </row>
    <row r="81" spans="1:4" ht="15.4" x14ac:dyDescent="0.5">
      <c r="B81" s="144" t="s">
        <v>534</v>
      </c>
    </row>
    <row r="82" spans="1:4" ht="15.4" x14ac:dyDescent="0.5">
      <c r="B82" s="144" t="s">
        <v>535</v>
      </c>
    </row>
    <row r="83" spans="1:4" x14ac:dyDescent="0.35">
      <c r="B83" s="144" t="s">
        <v>537</v>
      </c>
    </row>
    <row r="84" spans="1:4" ht="15.4" x14ac:dyDescent="0.5">
      <c r="B84" s="144" t="s">
        <v>536</v>
      </c>
    </row>
    <row r="85" spans="1:4" x14ac:dyDescent="0.35">
      <c r="B85" s="144" t="s">
        <v>538</v>
      </c>
    </row>
    <row r="86" spans="1:4" ht="14.25" x14ac:dyDescent="0.35">
      <c r="B86" s="144" t="s">
        <v>539</v>
      </c>
    </row>
    <row r="88" spans="1:4" ht="15" x14ac:dyDescent="0.4">
      <c r="C88" s="272" t="s">
        <v>546</v>
      </c>
      <c r="D88" s="272" t="s">
        <v>547</v>
      </c>
    </row>
    <row r="89" spans="1:4" x14ac:dyDescent="0.35">
      <c r="C89" s="273" t="s">
        <v>540</v>
      </c>
      <c r="D89" s="274">
        <v>1829</v>
      </c>
    </row>
    <row r="90" spans="1:4" x14ac:dyDescent="0.35">
      <c r="C90" s="273" t="s">
        <v>541</v>
      </c>
      <c r="D90" s="274">
        <v>4508</v>
      </c>
    </row>
    <row r="91" spans="1:4" x14ac:dyDescent="0.35">
      <c r="C91" s="273" t="s">
        <v>542</v>
      </c>
      <c r="D91" s="274">
        <v>4536</v>
      </c>
    </row>
    <row r="92" spans="1:4" x14ac:dyDescent="0.35">
      <c r="C92" s="273" t="s">
        <v>543</v>
      </c>
      <c r="D92" s="274">
        <v>5343</v>
      </c>
    </row>
    <row r="93" spans="1:4" x14ac:dyDescent="0.35">
      <c r="C93" s="273" t="s">
        <v>544</v>
      </c>
      <c r="D93" s="274">
        <v>5454</v>
      </c>
    </row>
    <row r="94" spans="1:4" x14ac:dyDescent="0.35">
      <c r="C94" s="273" t="s">
        <v>545</v>
      </c>
      <c r="D94" s="274">
        <v>5879</v>
      </c>
    </row>
    <row r="96" spans="1:4" ht="13.15" x14ac:dyDescent="0.4">
      <c r="A96" s="271" t="s">
        <v>548</v>
      </c>
    </row>
    <row r="97" spans="1:7" x14ac:dyDescent="0.35">
      <c r="B97" s="290" t="s">
        <v>579</v>
      </c>
    </row>
    <row r="98" spans="1:7" x14ac:dyDescent="0.35">
      <c r="B98" t="s">
        <v>552</v>
      </c>
    </row>
    <row r="99" spans="1:7" x14ac:dyDescent="0.35">
      <c r="B99" s="144" t="s">
        <v>553</v>
      </c>
    </row>
    <row r="100" spans="1:7" x14ac:dyDescent="0.35">
      <c r="B100" s="290" t="s">
        <v>580</v>
      </c>
    </row>
    <row r="101" spans="1:7" x14ac:dyDescent="0.35">
      <c r="B101" s="144" t="s">
        <v>549</v>
      </c>
    </row>
    <row r="102" spans="1:7" x14ac:dyDescent="0.35">
      <c r="B102" s="144" t="s">
        <v>550</v>
      </c>
    </row>
    <row r="103" spans="1:7" x14ac:dyDescent="0.35">
      <c r="B103" s="144" t="s">
        <v>551</v>
      </c>
    </row>
    <row r="104" spans="1:7" x14ac:dyDescent="0.35">
      <c r="B104" s="290" t="s">
        <v>581</v>
      </c>
    </row>
    <row r="106" spans="1:7" ht="13.15" x14ac:dyDescent="0.4">
      <c r="A106" s="271" t="s">
        <v>554</v>
      </c>
    </row>
    <row r="107" spans="1:7" ht="81" customHeight="1" x14ac:dyDescent="0.35">
      <c r="B107" s="293" t="s">
        <v>589</v>
      </c>
      <c r="C107" s="292"/>
      <c r="D107" s="292"/>
      <c r="E107" s="292"/>
      <c r="F107" s="292"/>
      <c r="G107" s="292"/>
    </row>
    <row r="109" spans="1:7" ht="13.15" x14ac:dyDescent="0.4">
      <c r="A109" s="271" t="s">
        <v>556</v>
      </c>
    </row>
    <row r="110" spans="1:7" ht="108.75" customHeight="1" x14ac:dyDescent="0.35">
      <c r="B110" s="293" t="s">
        <v>585</v>
      </c>
      <c r="C110" s="292"/>
      <c r="D110" s="292"/>
      <c r="E110" s="292"/>
      <c r="F110" s="292"/>
      <c r="G110" s="292"/>
    </row>
    <row r="112" spans="1:7" ht="13.15" x14ac:dyDescent="0.4">
      <c r="A112" s="271" t="s">
        <v>557</v>
      </c>
    </row>
    <row r="113" spans="1:7" ht="66" customHeight="1" x14ac:dyDescent="0.35">
      <c r="B113" s="293" t="s">
        <v>558</v>
      </c>
      <c r="C113" s="292"/>
      <c r="D113" s="292"/>
      <c r="E113" s="292"/>
      <c r="F113" s="292"/>
      <c r="G113" s="292"/>
    </row>
    <row r="115" spans="1:7" ht="13.15" x14ac:dyDescent="0.4">
      <c r="A115" s="271" t="s">
        <v>559</v>
      </c>
    </row>
    <row r="116" spans="1:7" ht="66.75" customHeight="1" x14ac:dyDescent="0.35">
      <c r="B116" s="293" t="s">
        <v>586</v>
      </c>
      <c r="C116" s="292"/>
      <c r="D116" s="292"/>
      <c r="E116" s="292"/>
      <c r="F116" s="292"/>
      <c r="G116" s="292"/>
    </row>
    <row r="117" spans="1:7" ht="12.75" customHeight="1" x14ac:dyDescent="0.35">
      <c r="B117" s="289"/>
      <c r="C117" s="288"/>
      <c r="D117" s="288"/>
      <c r="E117" s="288"/>
      <c r="F117" s="288"/>
      <c r="G117" s="288"/>
    </row>
    <row r="118" spans="1:7" ht="12.75" customHeight="1" x14ac:dyDescent="0.4">
      <c r="A118" s="271" t="s">
        <v>587</v>
      </c>
      <c r="B118" s="289"/>
      <c r="C118" s="288"/>
      <c r="D118" s="288"/>
      <c r="E118" s="288"/>
      <c r="F118" s="288"/>
      <c r="G118" s="288"/>
    </row>
    <row r="119" spans="1:7" ht="28.5" customHeight="1" x14ac:dyDescent="0.35">
      <c r="B119" s="293" t="s">
        <v>588</v>
      </c>
      <c r="C119" s="293"/>
      <c r="D119" s="293"/>
      <c r="E119" s="293"/>
      <c r="F119" s="293"/>
      <c r="G119" s="293"/>
    </row>
    <row r="120" spans="1:7" ht="13.15" x14ac:dyDescent="0.4">
      <c r="A120" s="271" t="s">
        <v>560</v>
      </c>
    </row>
    <row r="121" spans="1:7" ht="115.5" customHeight="1" x14ac:dyDescent="0.35">
      <c r="B121" s="293" t="s">
        <v>561</v>
      </c>
      <c r="C121" s="292"/>
      <c r="D121" s="292"/>
      <c r="E121" s="292"/>
      <c r="F121" s="292"/>
      <c r="G121" s="292"/>
    </row>
    <row r="123" spans="1:7" ht="13.15" x14ac:dyDescent="0.4">
      <c r="A123" s="271" t="s">
        <v>562</v>
      </c>
    </row>
    <row r="124" spans="1:7" ht="91.5" customHeight="1" x14ac:dyDescent="0.35">
      <c r="B124" s="293" t="s">
        <v>563</v>
      </c>
      <c r="C124" s="292"/>
      <c r="D124" s="292"/>
      <c r="E124" s="292"/>
      <c r="F124" s="292"/>
      <c r="G124" s="292"/>
    </row>
    <row r="126" spans="1:7" ht="13.15" x14ac:dyDescent="0.4">
      <c r="A126" s="271" t="s">
        <v>564</v>
      </c>
    </row>
    <row r="127" spans="1:7" ht="68.25" customHeight="1" x14ac:dyDescent="0.35">
      <c r="B127" s="293" t="s">
        <v>565</v>
      </c>
      <c r="C127" s="292"/>
      <c r="D127" s="292"/>
      <c r="E127" s="292"/>
      <c r="F127" s="292"/>
      <c r="G127" s="292"/>
    </row>
    <row r="129" spans="1:7" ht="13.15" x14ac:dyDescent="0.4">
      <c r="A129" s="271" t="s">
        <v>571</v>
      </c>
    </row>
    <row r="130" spans="1:7" ht="26.25" customHeight="1" x14ac:dyDescent="0.35">
      <c r="B130" s="293" t="s">
        <v>570</v>
      </c>
      <c r="C130" s="293"/>
      <c r="D130" s="293"/>
      <c r="E130" s="293"/>
      <c r="F130" s="293"/>
      <c r="G130" s="293"/>
    </row>
    <row r="132" spans="1:7" ht="13.15" x14ac:dyDescent="0.4">
      <c r="A132" s="271" t="s">
        <v>572</v>
      </c>
    </row>
    <row r="133" spans="1:7" x14ac:dyDescent="0.35">
      <c r="B133" s="291" t="s">
        <v>573</v>
      </c>
      <c r="C133" s="291"/>
      <c r="D133" s="291"/>
      <c r="E133" s="291"/>
      <c r="F133" s="291"/>
      <c r="G133" s="291"/>
    </row>
    <row r="135" spans="1:7" ht="13.15" x14ac:dyDescent="0.4">
      <c r="A135" s="271" t="s">
        <v>574</v>
      </c>
    </row>
    <row r="136" spans="1:7" ht="39" customHeight="1" x14ac:dyDescent="0.35">
      <c r="B136" s="291" t="s">
        <v>582</v>
      </c>
      <c r="C136" s="291"/>
      <c r="D136" s="291"/>
      <c r="E136" s="291"/>
      <c r="F136" s="291"/>
      <c r="G136" s="291"/>
    </row>
    <row r="138" spans="1:7" ht="13.15" x14ac:dyDescent="0.4">
      <c r="A138" s="271" t="s">
        <v>576</v>
      </c>
    </row>
    <row r="139" spans="1:7" ht="29.25" customHeight="1" x14ac:dyDescent="0.35">
      <c r="B139" s="291" t="s">
        <v>575</v>
      </c>
      <c r="C139" s="291"/>
      <c r="D139" s="291"/>
      <c r="E139" s="291"/>
      <c r="F139" s="291"/>
      <c r="G139" s="291"/>
    </row>
    <row r="141" spans="1:7" ht="13.15" x14ac:dyDescent="0.4">
      <c r="A141" s="271" t="s">
        <v>578</v>
      </c>
    </row>
    <row r="142" spans="1:7" ht="27.75" customHeight="1" x14ac:dyDescent="0.35">
      <c r="B142" s="291" t="s">
        <v>577</v>
      </c>
      <c r="C142" s="291"/>
      <c r="D142" s="291"/>
      <c r="E142" s="291"/>
      <c r="F142" s="291"/>
      <c r="G142" s="291"/>
    </row>
  </sheetData>
  <mergeCells count="17">
    <mergeCell ref="B130:G130"/>
    <mergeCell ref="B133:G133"/>
    <mergeCell ref="B136:G136"/>
    <mergeCell ref="B139:G139"/>
    <mergeCell ref="B142:G142"/>
    <mergeCell ref="B121:G121"/>
    <mergeCell ref="B124:G124"/>
    <mergeCell ref="B127:G127"/>
    <mergeCell ref="B107:G107"/>
    <mergeCell ref="B110:G110"/>
    <mergeCell ref="B113:G113"/>
    <mergeCell ref="B119:G119"/>
    <mergeCell ref="A12:G12"/>
    <mergeCell ref="B16:G16"/>
    <mergeCell ref="B17:G17"/>
    <mergeCell ref="B18:G18"/>
    <mergeCell ref="B116:G116"/>
  </mergeCells>
  <phoneticPr fontId="41"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Visio.Drawing.11" shapeId="3075" r:id="rId4">
          <objectPr defaultSize="0" autoPict="0" r:id="rId5">
            <anchor moveWithCells="1" sizeWithCells="1">
              <from>
                <xdr:col>0</xdr:col>
                <xdr:colOff>0</xdr:colOff>
                <xdr:row>22</xdr:row>
                <xdr:rowOff>57150</xdr:rowOff>
              </from>
              <to>
                <xdr:col>8</xdr:col>
                <xdr:colOff>390525</xdr:colOff>
                <xdr:row>44</xdr:row>
                <xdr:rowOff>57150</xdr:rowOff>
              </to>
            </anchor>
          </objectPr>
        </oleObject>
      </mc:Choice>
      <mc:Fallback>
        <oleObject progId="Visio.Drawing.11" shapeId="307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558"/>
  <sheetViews>
    <sheetView tabSelected="1" workbookViewId="0">
      <pane ySplit="2505"/>
      <selection activeCell="H107" sqref="H107"/>
      <selection pane="bottomLeft"/>
    </sheetView>
  </sheetViews>
  <sheetFormatPr defaultColWidth="9.1328125" defaultRowHeight="12.75" x14ac:dyDescent="0.35"/>
  <cols>
    <col min="1" max="1" width="16.73046875" style="24" customWidth="1"/>
    <col min="2" max="2" width="20.59765625" style="24" customWidth="1"/>
    <col min="3" max="3" width="27.3984375" style="24" customWidth="1"/>
    <col min="4" max="4" width="18" style="24" customWidth="1"/>
    <col min="5" max="5" width="12.73046875" style="24" customWidth="1"/>
    <col min="6" max="6" width="14.59765625" style="24" customWidth="1"/>
    <col min="7" max="7" width="14.59765625" style="49" customWidth="1"/>
    <col min="8" max="8" width="15.265625" style="24" customWidth="1"/>
    <col min="9" max="9" width="16.1328125" style="49" customWidth="1"/>
    <col min="10" max="10" width="9.1328125" style="24"/>
    <col min="11" max="12" width="9.1328125" style="55"/>
    <col min="13" max="13" width="9.1328125" style="44"/>
    <col min="14" max="16384" width="9.1328125" style="24"/>
  </cols>
  <sheetData>
    <row r="1" spans="1:48" ht="13.5" thickBot="1" x14ac:dyDescent="0.45">
      <c r="A1" s="1"/>
      <c r="B1" s="57" t="s">
        <v>33</v>
      </c>
      <c r="C1" s="1"/>
      <c r="D1" s="2"/>
      <c r="E1" s="2"/>
      <c r="F1" s="45"/>
      <c r="G1" s="2"/>
      <c r="H1" s="2"/>
      <c r="I1" s="45"/>
      <c r="J1" s="3"/>
      <c r="K1" s="52"/>
      <c r="L1" s="48"/>
      <c r="M1" s="19"/>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row>
    <row r="2" spans="1:48" ht="21.75" customHeight="1" thickBot="1" x14ac:dyDescent="0.4">
      <c r="A2" s="58" t="s">
        <v>46</v>
      </c>
      <c r="B2" s="59" t="s">
        <v>243</v>
      </c>
      <c r="C2" s="59" t="s">
        <v>244</v>
      </c>
      <c r="D2" s="60" t="s">
        <v>47</v>
      </c>
      <c r="E2" s="60" t="s">
        <v>48</v>
      </c>
      <c r="F2" s="61" t="s">
        <v>49</v>
      </c>
      <c r="G2" s="62"/>
      <c r="H2" s="129" t="s">
        <v>49</v>
      </c>
      <c r="I2" s="63"/>
      <c r="J2" s="5"/>
      <c r="K2" s="53"/>
      <c r="L2" s="48"/>
      <c r="M2" s="19"/>
      <c r="N2" s="19"/>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row>
    <row r="3" spans="1:48" x14ac:dyDescent="0.35">
      <c r="A3" s="64" t="s">
        <v>264</v>
      </c>
      <c r="B3" s="8" t="s">
        <v>26</v>
      </c>
      <c r="C3" s="9" t="s">
        <v>176</v>
      </c>
      <c r="D3" s="10" t="s">
        <v>50</v>
      </c>
      <c r="E3" s="30"/>
      <c r="F3" s="10" t="s">
        <v>39</v>
      </c>
      <c r="G3" s="10"/>
      <c r="H3" s="65"/>
      <c r="I3" s="51"/>
      <c r="J3" s="5"/>
      <c r="K3" s="54"/>
      <c r="L3" s="47"/>
      <c r="M3" s="33"/>
      <c r="N3" s="33"/>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row>
    <row r="4" spans="1:48" x14ac:dyDescent="0.35">
      <c r="A4" s="164" t="s">
        <v>264</v>
      </c>
      <c r="B4" s="22"/>
      <c r="C4" s="26" t="s">
        <v>286</v>
      </c>
      <c r="D4" s="28" t="s">
        <v>37</v>
      </c>
      <c r="E4" s="35">
        <f>HEX2DEC(D4)*C3</f>
        <v>0</v>
      </c>
      <c r="F4" s="35">
        <f>E4</f>
        <v>0</v>
      </c>
      <c r="G4" s="35"/>
      <c r="H4" s="40"/>
      <c r="I4" s="66"/>
      <c r="J4" s="5"/>
      <c r="K4" s="7"/>
      <c r="L4" s="7"/>
      <c r="M4" s="56"/>
      <c r="N4" s="33"/>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row>
    <row r="5" spans="1:48" ht="13.15" thickBot="1" x14ac:dyDescent="0.4">
      <c r="A5" s="165" t="s">
        <v>264</v>
      </c>
      <c r="B5" s="14"/>
      <c r="C5" s="14"/>
      <c r="D5" s="67" t="s">
        <v>38</v>
      </c>
      <c r="E5" s="68">
        <f>HEX2DEC(D5)*C3</f>
        <v>65535</v>
      </c>
      <c r="F5" s="68">
        <f>E5</f>
        <v>65535</v>
      </c>
      <c r="G5" s="68"/>
      <c r="H5" s="69"/>
      <c r="I5" s="50"/>
      <c r="J5" s="5"/>
      <c r="K5" s="47"/>
      <c r="L5" s="47"/>
      <c r="M5" s="33"/>
      <c r="N5" s="33"/>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row>
    <row r="6" spans="1:48" x14ac:dyDescent="0.35">
      <c r="A6" s="70" t="s">
        <v>265</v>
      </c>
      <c r="B6" s="16" t="s">
        <v>26</v>
      </c>
      <c r="C6" s="16" t="s">
        <v>51</v>
      </c>
      <c r="D6" s="10" t="s">
        <v>50</v>
      </c>
      <c r="E6" s="71"/>
      <c r="F6" s="10" t="s">
        <v>40</v>
      </c>
      <c r="G6" s="72"/>
      <c r="H6" s="72"/>
      <c r="I6" s="51"/>
      <c r="J6" s="5"/>
      <c r="K6" s="47"/>
      <c r="L6" s="47"/>
      <c r="M6" s="33"/>
      <c r="N6" s="33"/>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48" x14ac:dyDescent="0.35">
      <c r="A7" s="166" t="s">
        <v>265</v>
      </c>
      <c r="B7" s="27"/>
      <c r="C7" s="26" t="s">
        <v>287</v>
      </c>
      <c r="D7" s="28" t="s">
        <v>37</v>
      </c>
      <c r="E7" s="40">
        <f>HEX2DEC(D7)*C6</f>
        <v>0</v>
      </c>
      <c r="F7" s="35">
        <f>E7</f>
        <v>0</v>
      </c>
      <c r="G7" s="73"/>
      <c r="H7" s="74"/>
      <c r="I7" s="66"/>
      <c r="J7" s="5"/>
      <c r="K7" s="47"/>
      <c r="L7" s="47"/>
      <c r="M7" s="33"/>
      <c r="N7" s="33"/>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row>
    <row r="8" spans="1:48" ht="13.15" thickBot="1" x14ac:dyDescent="0.4">
      <c r="A8" s="165" t="s">
        <v>265</v>
      </c>
      <c r="B8" s="14"/>
      <c r="C8" s="14"/>
      <c r="D8" s="67" t="s">
        <v>38</v>
      </c>
      <c r="E8" s="124">
        <f>HEX2DEC(D8)*C6</f>
        <v>6553.5</v>
      </c>
      <c r="F8" s="124">
        <f>E8</f>
        <v>6553.5</v>
      </c>
      <c r="G8" s="75"/>
      <c r="H8" s="76"/>
      <c r="I8" s="50"/>
      <c r="J8" s="5"/>
      <c r="K8" s="47"/>
      <c r="L8" s="47"/>
      <c r="M8" s="33"/>
      <c r="N8" s="33"/>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row>
    <row r="9" spans="1:48" x14ac:dyDescent="0.35">
      <c r="A9" s="70" t="s">
        <v>127</v>
      </c>
      <c r="B9" s="16" t="s">
        <v>26</v>
      </c>
      <c r="C9" s="16" t="s">
        <v>52</v>
      </c>
      <c r="D9" s="10" t="s">
        <v>50</v>
      </c>
      <c r="E9" s="71"/>
      <c r="F9" s="10" t="s">
        <v>41</v>
      </c>
      <c r="G9" s="10"/>
      <c r="H9" s="65"/>
      <c r="I9" s="51"/>
      <c r="J9" s="5"/>
      <c r="K9" s="47"/>
      <c r="L9" s="47"/>
      <c r="M9" s="33"/>
      <c r="N9" s="33"/>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row>
    <row r="10" spans="1:48" x14ac:dyDescent="0.35">
      <c r="A10" s="166" t="s">
        <v>127</v>
      </c>
      <c r="B10" s="27"/>
      <c r="C10" s="12" t="s">
        <v>288</v>
      </c>
      <c r="D10" s="28" t="s">
        <v>37</v>
      </c>
      <c r="E10" s="40">
        <f>HEX2DEC(D10)*C9</f>
        <v>0</v>
      </c>
      <c r="F10" s="35">
        <f>E10</f>
        <v>0</v>
      </c>
      <c r="G10" s="37"/>
      <c r="H10" s="41"/>
      <c r="I10" s="66"/>
      <c r="J10" s="5"/>
      <c r="K10" s="47"/>
      <c r="L10" s="47"/>
      <c r="M10" s="33"/>
      <c r="N10" s="33"/>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row>
    <row r="11" spans="1:48" ht="13.15" thickBot="1" x14ac:dyDescent="0.4">
      <c r="A11" s="165" t="s">
        <v>127</v>
      </c>
      <c r="B11" s="14"/>
      <c r="C11" s="14"/>
      <c r="D11" s="67" t="s">
        <v>38</v>
      </c>
      <c r="E11" s="77">
        <f>HEX2DEC(D11)*C9</f>
        <v>655.35</v>
      </c>
      <c r="F11" s="118">
        <f>E11</f>
        <v>655.35</v>
      </c>
      <c r="G11" s="77"/>
      <c r="H11" s="78"/>
      <c r="I11" s="50"/>
      <c r="J11" s="5"/>
      <c r="K11" s="47"/>
      <c r="L11" s="47"/>
      <c r="M11" s="33"/>
      <c r="N11" s="33"/>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row>
    <row r="12" spans="1:48" x14ac:dyDescent="0.35">
      <c r="A12" s="70" t="s">
        <v>128</v>
      </c>
      <c r="B12" s="16" t="s">
        <v>26</v>
      </c>
      <c r="C12" s="16" t="s">
        <v>53</v>
      </c>
      <c r="D12" s="10" t="s">
        <v>50</v>
      </c>
      <c r="E12" s="71"/>
      <c r="F12" s="10" t="s">
        <v>42</v>
      </c>
      <c r="G12" s="10"/>
      <c r="H12" s="65"/>
      <c r="I12" s="51"/>
      <c r="J12" s="5"/>
      <c r="K12" s="47"/>
      <c r="L12" s="47"/>
      <c r="M12" s="33"/>
      <c r="N12" s="33"/>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row>
    <row r="13" spans="1:48" x14ac:dyDescent="0.35">
      <c r="A13" s="166" t="s">
        <v>128</v>
      </c>
      <c r="B13" s="27"/>
      <c r="C13" s="12" t="s">
        <v>289</v>
      </c>
      <c r="D13" s="28" t="s">
        <v>37</v>
      </c>
      <c r="E13" s="40">
        <f>HEX2DEC(D13)*C12</f>
        <v>0</v>
      </c>
      <c r="F13" s="35">
        <f>E13</f>
        <v>0</v>
      </c>
      <c r="G13" s="37"/>
      <c r="H13" s="41"/>
      <c r="I13" s="66"/>
      <c r="J13" s="5"/>
      <c r="K13" s="47"/>
      <c r="L13" s="47"/>
      <c r="M13" s="33"/>
      <c r="N13" s="33"/>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row>
    <row r="14" spans="1:48" ht="13.15" thickBot="1" x14ac:dyDescent="0.4">
      <c r="A14" s="165" t="s">
        <v>128</v>
      </c>
      <c r="B14" s="14"/>
      <c r="C14" s="14"/>
      <c r="D14" s="67" t="s">
        <v>38</v>
      </c>
      <c r="E14" s="79">
        <f>HEX2DEC(D14)*C12</f>
        <v>65.534999999999997</v>
      </c>
      <c r="F14" s="80">
        <f>E14</f>
        <v>65.534999999999997</v>
      </c>
      <c r="G14" s="77"/>
      <c r="H14" s="78"/>
      <c r="I14" s="50"/>
      <c r="J14" s="5"/>
      <c r="K14" s="47"/>
      <c r="L14" s="47"/>
      <c r="M14" s="33"/>
      <c r="N14" s="33"/>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row>
    <row r="15" spans="1:48" x14ac:dyDescent="0.35">
      <c r="A15" s="70" t="s">
        <v>129</v>
      </c>
      <c r="B15" s="16" t="s">
        <v>26</v>
      </c>
      <c r="C15" s="16" t="s">
        <v>54</v>
      </c>
      <c r="D15" s="10" t="s">
        <v>50</v>
      </c>
      <c r="E15" s="71"/>
      <c r="F15" s="10" t="s">
        <v>55</v>
      </c>
      <c r="G15" s="10"/>
      <c r="H15" s="65"/>
      <c r="I15" s="51"/>
      <c r="J15" s="5"/>
      <c r="K15" s="47"/>
      <c r="L15" s="47"/>
      <c r="M15" s="33"/>
      <c r="N15" s="33"/>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row>
    <row r="16" spans="1:48" x14ac:dyDescent="0.35">
      <c r="A16" s="166" t="s">
        <v>129</v>
      </c>
      <c r="B16" s="27"/>
      <c r="C16" s="12" t="s">
        <v>292</v>
      </c>
      <c r="D16" s="28" t="s">
        <v>37</v>
      </c>
      <c r="E16" s="40">
        <f>HEX2DEC(D16)*C15</f>
        <v>0</v>
      </c>
      <c r="F16" s="35">
        <f>E16</f>
        <v>0</v>
      </c>
      <c r="G16" s="37"/>
      <c r="H16" s="41"/>
      <c r="I16" s="66"/>
      <c r="J16" s="5"/>
      <c r="K16" s="47"/>
      <c r="L16" s="47"/>
      <c r="M16" s="33"/>
      <c r="N16" s="33"/>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row>
    <row r="17" spans="1:48" ht="13.15" thickBot="1" x14ac:dyDescent="0.4">
      <c r="A17" s="165" t="s">
        <v>129</v>
      </c>
      <c r="B17" s="14"/>
      <c r="C17" s="14"/>
      <c r="D17" s="67" t="s">
        <v>38</v>
      </c>
      <c r="E17" s="32">
        <f>HEX2DEC(D17)*C15</f>
        <v>1.99996947423</v>
      </c>
      <c r="F17" s="125">
        <f>E17</f>
        <v>1.99996947423</v>
      </c>
      <c r="G17" s="77"/>
      <c r="H17" s="78"/>
      <c r="I17" s="50"/>
      <c r="J17" s="5"/>
      <c r="K17" s="47"/>
      <c r="L17" s="47"/>
      <c r="M17" s="33"/>
      <c r="N17" s="33"/>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row>
    <row r="18" spans="1:48" x14ac:dyDescent="0.35">
      <c r="A18" s="70" t="s">
        <v>130</v>
      </c>
      <c r="B18" s="16" t="s">
        <v>26</v>
      </c>
      <c r="C18" s="16" t="s">
        <v>56</v>
      </c>
      <c r="D18" s="10" t="s">
        <v>50</v>
      </c>
      <c r="E18" s="71"/>
      <c r="F18" s="10" t="s">
        <v>57</v>
      </c>
      <c r="G18" s="10"/>
      <c r="H18" s="65"/>
      <c r="I18" s="51"/>
      <c r="J18" s="5"/>
      <c r="K18" s="47"/>
      <c r="L18" s="47"/>
      <c r="M18" s="33"/>
      <c r="N18" s="33"/>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row>
    <row r="19" spans="1:48" x14ac:dyDescent="0.35">
      <c r="A19" s="166" t="s">
        <v>130</v>
      </c>
      <c r="B19" s="27"/>
      <c r="C19" s="12" t="s">
        <v>293</v>
      </c>
      <c r="D19" s="28" t="s">
        <v>37</v>
      </c>
      <c r="E19" s="40">
        <f>HEX2DEC(D19)*C18</f>
        <v>0</v>
      </c>
      <c r="F19" s="35">
        <f>E19</f>
        <v>0</v>
      </c>
      <c r="G19" s="37"/>
      <c r="H19" s="82"/>
      <c r="I19" s="66"/>
      <c r="J19" s="5"/>
      <c r="K19" s="47"/>
      <c r="L19" s="47"/>
      <c r="M19" s="33"/>
      <c r="N19" s="33"/>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row>
    <row r="20" spans="1:48" ht="13.15" thickBot="1" x14ac:dyDescent="0.4">
      <c r="A20" s="165" t="s">
        <v>130</v>
      </c>
      <c r="B20" s="14"/>
      <c r="C20" s="14"/>
      <c r="D20" s="67" t="s">
        <v>38</v>
      </c>
      <c r="E20" s="32">
        <f>HEX2DEC(D20)*C18</f>
        <v>19.988174999999998</v>
      </c>
      <c r="F20" s="143">
        <f>E20</f>
        <v>19.988174999999998</v>
      </c>
      <c r="G20" s="77"/>
      <c r="H20" s="78"/>
      <c r="I20" s="50"/>
      <c r="J20" s="5"/>
      <c r="K20" s="47"/>
      <c r="L20" s="47"/>
      <c r="M20" s="33"/>
      <c r="N20" s="33"/>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row>
    <row r="21" spans="1:48" x14ac:dyDescent="0.35">
      <c r="A21" s="70" t="s">
        <v>131</v>
      </c>
      <c r="B21" s="16" t="s">
        <v>58</v>
      </c>
      <c r="C21" s="16" t="s">
        <v>59</v>
      </c>
      <c r="D21" s="10" t="s">
        <v>50</v>
      </c>
      <c r="E21" s="71"/>
      <c r="F21" s="10" t="s">
        <v>60</v>
      </c>
      <c r="G21" s="10" t="s">
        <v>45</v>
      </c>
      <c r="H21" s="10"/>
      <c r="I21" s="83"/>
      <c r="J21" s="6"/>
      <c r="K21" s="54"/>
      <c r="L21" s="47"/>
      <c r="M21" s="33"/>
      <c r="N21" s="33"/>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row>
    <row r="22" spans="1:48" x14ac:dyDescent="0.35">
      <c r="A22" s="168" t="s">
        <v>131</v>
      </c>
      <c r="B22" s="11"/>
      <c r="C22" s="12" t="s">
        <v>290</v>
      </c>
      <c r="D22" s="28" t="s">
        <v>37</v>
      </c>
      <c r="E22" s="40">
        <f>HEX2DEC(D22)*C21</f>
        <v>0</v>
      </c>
      <c r="F22" s="37">
        <f t="shared" ref="F22:F40" si="0">E22</f>
        <v>0</v>
      </c>
      <c r="G22" s="40" t="s">
        <v>45</v>
      </c>
      <c r="H22" s="40"/>
      <c r="I22" s="84"/>
      <c r="J22" s="6"/>
      <c r="K22" s="47"/>
      <c r="L22" s="47"/>
      <c r="M22" s="33"/>
      <c r="N22" s="33"/>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row>
    <row r="23" spans="1:48" x14ac:dyDescent="0.35">
      <c r="A23" s="168" t="s">
        <v>131</v>
      </c>
      <c r="B23" s="11"/>
      <c r="C23" s="12"/>
      <c r="D23" s="13" t="s">
        <v>222</v>
      </c>
      <c r="E23" s="73">
        <f>HEX2DEC(D23)*C21</f>
        <v>0.5</v>
      </c>
      <c r="F23" s="37">
        <f t="shared" si="0"/>
        <v>0.5</v>
      </c>
      <c r="G23" s="40" t="s">
        <v>45</v>
      </c>
      <c r="H23" s="40"/>
      <c r="I23" s="84"/>
      <c r="J23" s="6"/>
      <c r="K23" s="47"/>
      <c r="L23" s="47"/>
      <c r="M23" s="33"/>
      <c r="N23" s="33"/>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row>
    <row r="24" spans="1:48" x14ac:dyDescent="0.35">
      <c r="A24" s="168" t="s">
        <v>131</v>
      </c>
      <c r="B24" s="11"/>
      <c r="C24" s="12"/>
      <c r="D24" s="17" t="s">
        <v>221</v>
      </c>
      <c r="E24" s="41">
        <f>HEX2DEC(D24)*C21</f>
        <v>16383.25</v>
      </c>
      <c r="F24" s="37">
        <f t="shared" si="0"/>
        <v>16383.25</v>
      </c>
      <c r="G24" s="40" t="s">
        <v>45</v>
      </c>
      <c r="H24" s="40"/>
      <c r="I24" s="84"/>
      <c r="J24" s="6"/>
      <c r="K24" s="47"/>
      <c r="L24" s="47"/>
      <c r="M24" s="33"/>
      <c r="N24" s="33"/>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row>
    <row r="25" spans="1:48" ht="13.15" thickBot="1" x14ac:dyDescent="0.4">
      <c r="A25" s="165" t="s">
        <v>131</v>
      </c>
      <c r="B25" s="14"/>
      <c r="C25" s="14"/>
      <c r="D25" s="15" t="s">
        <v>38</v>
      </c>
      <c r="E25" s="77">
        <f>HEX2DEC(D25)*C21</f>
        <v>16383.75</v>
      </c>
      <c r="F25" s="118">
        <f t="shared" si="0"/>
        <v>16383.75</v>
      </c>
      <c r="G25" s="68" t="s">
        <v>45</v>
      </c>
      <c r="H25" s="68"/>
      <c r="I25" s="85"/>
      <c r="J25" s="6"/>
      <c r="K25" s="47"/>
      <c r="L25" s="47"/>
      <c r="M25" s="33"/>
      <c r="N25" s="33"/>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row>
    <row r="26" spans="1:48" x14ac:dyDescent="0.35">
      <c r="A26" s="70" t="s">
        <v>132</v>
      </c>
      <c r="B26" s="16" t="s">
        <v>43</v>
      </c>
      <c r="C26" s="16" t="s">
        <v>52</v>
      </c>
      <c r="D26" s="10" t="s">
        <v>50</v>
      </c>
      <c r="E26" s="71"/>
      <c r="F26" s="86" t="s">
        <v>41</v>
      </c>
      <c r="G26" s="9" t="s">
        <v>61</v>
      </c>
      <c r="H26" s="86" t="s">
        <v>41</v>
      </c>
      <c r="I26" s="51" t="s">
        <v>219</v>
      </c>
      <c r="J26" s="6"/>
      <c r="K26" s="47"/>
      <c r="L26" s="47"/>
      <c r="M26" s="47"/>
      <c r="N26" s="4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row>
    <row r="27" spans="1:48" x14ac:dyDescent="0.35">
      <c r="A27" s="166" t="s">
        <v>132</v>
      </c>
      <c r="B27" s="27"/>
      <c r="C27" s="27" t="s">
        <v>291</v>
      </c>
      <c r="D27" s="28" t="s">
        <v>37</v>
      </c>
      <c r="E27" s="40">
        <f>HEX2DEC(D27)*C26</f>
        <v>0</v>
      </c>
      <c r="F27" s="41">
        <f t="shared" si="0"/>
        <v>0</v>
      </c>
      <c r="G27" s="13" t="s">
        <v>61</v>
      </c>
      <c r="H27" s="87">
        <f>F27*(0.62137)</f>
        <v>0</v>
      </c>
      <c r="I27" s="66" t="s">
        <v>219</v>
      </c>
      <c r="J27" s="6"/>
      <c r="K27" s="47"/>
      <c r="L27" s="47"/>
      <c r="M27" s="47"/>
      <c r="N27" s="4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row>
    <row r="28" spans="1:48" x14ac:dyDescent="0.35">
      <c r="A28" s="168" t="s">
        <v>132</v>
      </c>
      <c r="B28" s="11"/>
      <c r="C28" s="12"/>
      <c r="D28" s="13" t="s">
        <v>223</v>
      </c>
      <c r="E28" s="40">
        <f>HEX2DEC(D28)*C26</f>
        <v>1</v>
      </c>
      <c r="F28" s="37">
        <f t="shared" si="0"/>
        <v>1</v>
      </c>
      <c r="G28" s="13" t="s">
        <v>61</v>
      </c>
      <c r="H28" s="87">
        <f>F28*(0.62137)</f>
        <v>0.62136999999999998</v>
      </c>
      <c r="I28" s="66" t="s">
        <v>219</v>
      </c>
      <c r="J28" s="3"/>
      <c r="K28" s="47"/>
      <c r="L28" s="47"/>
      <c r="M28" s="33"/>
      <c r="N28" s="33"/>
      <c r="O28" s="4"/>
      <c r="P28" s="7"/>
      <c r="Q28" s="7"/>
      <c r="R28" s="7"/>
      <c r="S28" s="7"/>
      <c r="T28" s="7"/>
      <c r="U28" s="7"/>
      <c r="V28" s="4"/>
      <c r="W28" s="4"/>
      <c r="X28" s="4"/>
      <c r="Y28" s="4"/>
      <c r="Z28" s="4"/>
      <c r="AA28" s="7"/>
      <c r="AB28" s="7"/>
      <c r="AC28" s="7"/>
      <c r="AD28" s="7"/>
      <c r="AE28" s="7"/>
      <c r="AF28" s="7"/>
      <c r="AG28" s="7"/>
      <c r="AH28" s="7"/>
      <c r="AI28" s="7"/>
      <c r="AJ28" s="7"/>
      <c r="AK28" s="7"/>
      <c r="AL28" s="7"/>
      <c r="AM28" s="7"/>
      <c r="AN28" s="7"/>
      <c r="AO28" s="7"/>
      <c r="AP28" s="7"/>
      <c r="AQ28" s="7"/>
      <c r="AR28" s="7"/>
      <c r="AS28" s="7"/>
      <c r="AT28" s="7"/>
      <c r="AU28" s="7"/>
      <c r="AV28" s="7"/>
    </row>
    <row r="29" spans="1:48" x14ac:dyDescent="0.35">
      <c r="A29" s="168" t="s">
        <v>132</v>
      </c>
      <c r="B29" s="12"/>
      <c r="C29" s="12" t="s">
        <v>62</v>
      </c>
      <c r="D29" s="88" t="s">
        <v>224</v>
      </c>
      <c r="E29" s="41">
        <f>HEX2DEC(D29)*C26</f>
        <v>9.99</v>
      </c>
      <c r="F29" s="37">
        <f t="shared" si="0"/>
        <v>9.99</v>
      </c>
      <c r="G29" s="13" t="s">
        <v>61</v>
      </c>
      <c r="H29" s="87">
        <f>F29*(0.62137)</f>
        <v>6.2074863000000002</v>
      </c>
      <c r="I29" s="89" t="s">
        <v>219</v>
      </c>
      <c r="J29" s="6"/>
      <c r="K29" s="47"/>
      <c r="L29" s="47"/>
      <c r="M29" s="33"/>
      <c r="N29" s="33"/>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row>
    <row r="30" spans="1:48" ht="13.15" thickBot="1" x14ac:dyDescent="0.4">
      <c r="A30" s="165" t="s">
        <v>132</v>
      </c>
      <c r="B30" s="14"/>
      <c r="C30" s="42" t="s">
        <v>63</v>
      </c>
      <c r="D30" s="15" t="s">
        <v>38</v>
      </c>
      <c r="E30" s="77">
        <f>HEX2DEC(D30)*C26</f>
        <v>655.35</v>
      </c>
      <c r="F30" s="118">
        <f t="shared" si="0"/>
        <v>655.35</v>
      </c>
      <c r="G30" s="67" t="s">
        <v>61</v>
      </c>
      <c r="H30" s="95">
        <f>F30*(0.62137)</f>
        <v>407.21482950000001</v>
      </c>
      <c r="I30" s="50" t="s">
        <v>219</v>
      </c>
      <c r="J30" s="6"/>
      <c r="K30" s="47"/>
      <c r="L30" s="47"/>
      <c r="M30" s="33"/>
      <c r="N30" s="33"/>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row>
    <row r="31" spans="1:48" x14ac:dyDescent="0.35">
      <c r="A31" s="70" t="s">
        <v>133</v>
      </c>
      <c r="B31" s="16" t="s">
        <v>43</v>
      </c>
      <c r="C31" s="16" t="s">
        <v>176</v>
      </c>
      <c r="D31" s="10" t="s">
        <v>50</v>
      </c>
      <c r="E31" s="71"/>
      <c r="F31" s="86" t="s">
        <v>39</v>
      </c>
      <c r="G31" s="9" t="s">
        <v>61</v>
      </c>
      <c r="H31" s="86" t="s">
        <v>39</v>
      </c>
      <c r="I31" s="51" t="s">
        <v>219</v>
      </c>
      <c r="J31" s="6"/>
      <c r="K31" s="47"/>
      <c r="L31" s="47"/>
      <c r="M31" s="47"/>
      <c r="N31" s="4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row>
    <row r="32" spans="1:48" x14ac:dyDescent="0.35">
      <c r="A32" s="166" t="s">
        <v>133</v>
      </c>
      <c r="B32" s="27"/>
      <c r="C32" s="27" t="s">
        <v>294</v>
      </c>
      <c r="D32" s="28" t="s">
        <v>37</v>
      </c>
      <c r="E32" s="40">
        <f>HEX2DEC(D32)*C31</f>
        <v>0</v>
      </c>
      <c r="F32" s="41">
        <f t="shared" si="0"/>
        <v>0</v>
      </c>
      <c r="G32" s="13" t="s">
        <v>61</v>
      </c>
      <c r="H32" s="90">
        <f>F32*(0.62137)</f>
        <v>0</v>
      </c>
      <c r="I32" s="66" t="s">
        <v>219</v>
      </c>
      <c r="J32" s="6"/>
      <c r="K32" s="47"/>
      <c r="L32" s="47"/>
      <c r="M32" s="47"/>
      <c r="N32" s="4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row>
    <row r="33" spans="1:48" x14ac:dyDescent="0.35">
      <c r="A33" s="168" t="s">
        <v>133</v>
      </c>
      <c r="B33" s="11"/>
      <c r="C33" s="12"/>
      <c r="D33" s="13" t="s">
        <v>223</v>
      </c>
      <c r="E33" s="40">
        <f>HEX2DEC(D33)*C31</f>
        <v>100</v>
      </c>
      <c r="F33" s="41">
        <f t="shared" si="0"/>
        <v>100</v>
      </c>
      <c r="G33" s="13" t="s">
        <v>61</v>
      </c>
      <c r="H33" s="90">
        <f>F33*(0.62137)</f>
        <v>62.137</v>
      </c>
      <c r="I33" s="66" t="s">
        <v>219</v>
      </c>
      <c r="J33" s="3"/>
      <c r="K33" s="47"/>
      <c r="L33" s="47"/>
      <c r="M33" s="33"/>
      <c r="N33" s="33"/>
      <c r="O33" s="4"/>
      <c r="P33" s="7"/>
      <c r="Q33" s="7"/>
      <c r="R33" s="7"/>
      <c r="S33" s="7"/>
      <c r="T33" s="7"/>
      <c r="U33" s="7"/>
      <c r="V33" s="4"/>
      <c r="W33" s="4"/>
      <c r="X33" s="4"/>
      <c r="Y33" s="4"/>
      <c r="Z33" s="4"/>
      <c r="AA33" s="7"/>
      <c r="AB33" s="7"/>
      <c r="AC33" s="7"/>
      <c r="AD33" s="7"/>
      <c r="AE33" s="7"/>
      <c r="AF33" s="7"/>
      <c r="AG33" s="7"/>
      <c r="AH33" s="7"/>
      <c r="AI33" s="7"/>
      <c r="AJ33" s="7"/>
      <c r="AK33" s="7"/>
      <c r="AL33" s="7"/>
      <c r="AM33" s="7"/>
      <c r="AN33" s="7"/>
      <c r="AO33" s="7"/>
      <c r="AP33" s="7"/>
      <c r="AQ33" s="7"/>
      <c r="AR33" s="7"/>
      <c r="AS33" s="7"/>
      <c r="AT33" s="7"/>
      <c r="AU33" s="7"/>
      <c r="AV33" s="7"/>
    </row>
    <row r="34" spans="1:48" x14ac:dyDescent="0.35">
      <c r="A34" s="168" t="s">
        <v>133</v>
      </c>
      <c r="B34" s="12"/>
      <c r="C34" s="12" t="s">
        <v>62</v>
      </c>
      <c r="D34" s="88" t="s">
        <v>224</v>
      </c>
      <c r="E34" s="40">
        <f>HEX2DEC(D34)*C31</f>
        <v>999</v>
      </c>
      <c r="F34" s="41">
        <f t="shared" si="0"/>
        <v>999</v>
      </c>
      <c r="G34" s="13" t="s">
        <v>61</v>
      </c>
      <c r="H34" s="90">
        <f>F34*(0.62137)</f>
        <v>620.74862999999993</v>
      </c>
      <c r="I34" s="89" t="s">
        <v>219</v>
      </c>
      <c r="J34" s="6"/>
      <c r="K34" s="47"/>
      <c r="L34" s="47"/>
      <c r="M34" s="33"/>
      <c r="N34" s="33"/>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row>
    <row r="35" spans="1:48" ht="13.15" thickBot="1" x14ac:dyDescent="0.4">
      <c r="A35" s="165" t="s">
        <v>133</v>
      </c>
      <c r="B35" s="14"/>
      <c r="C35" s="42" t="s">
        <v>63</v>
      </c>
      <c r="D35" s="15" t="s">
        <v>38</v>
      </c>
      <c r="E35" s="68">
        <f>HEX2DEC(D35)*C31</f>
        <v>65535</v>
      </c>
      <c r="F35" s="77">
        <f t="shared" si="0"/>
        <v>65535</v>
      </c>
      <c r="G35" s="67" t="s">
        <v>61</v>
      </c>
      <c r="H35" s="91">
        <f>F35*(0.62137)</f>
        <v>40721.482949999998</v>
      </c>
      <c r="I35" s="50" t="s">
        <v>219</v>
      </c>
      <c r="J35" s="6"/>
      <c r="K35" s="47"/>
      <c r="L35" s="47"/>
      <c r="M35" s="33"/>
      <c r="N35" s="33"/>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row>
    <row r="36" spans="1:48" x14ac:dyDescent="0.35">
      <c r="A36" s="70" t="s">
        <v>134</v>
      </c>
      <c r="B36" s="16" t="s">
        <v>44</v>
      </c>
      <c r="C36" s="16" t="s">
        <v>64</v>
      </c>
      <c r="D36" s="10" t="s">
        <v>50</v>
      </c>
      <c r="E36" s="71"/>
      <c r="F36" s="86" t="s">
        <v>65</v>
      </c>
      <c r="G36" s="172" t="s">
        <v>227</v>
      </c>
      <c r="H36" s="86" t="s">
        <v>66</v>
      </c>
      <c r="I36" s="173" t="s">
        <v>228</v>
      </c>
      <c r="J36" s="7"/>
      <c r="K36" s="47"/>
      <c r="L36" s="47"/>
      <c r="M36" s="47"/>
      <c r="N36" s="4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row>
    <row r="37" spans="1:48" x14ac:dyDescent="0.35">
      <c r="A37" s="166" t="s">
        <v>134</v>
      </c>
      <c r="B37" s="27"/>
      <c r="C37" s="27" t="s">
        <v>295</v>
      </c>
      <c r="D37" s="28" t="s">
        <v>37</v>
      </c>
      <c r="E37" s="40">
        <f>HEX2DEC(D37)*C36</f>
        <v>0</v>
      </c>
      <c r="F37" s="39">
        <f t="shared" si="0"/>
        <v>0</v>
      </c>
      <c r="G37" s="13" t="s">
        <v>227</v>
      </c>
      <c r="H37" s="92">
        <f>F37/1000</f>
        <v>0</v>
      </c>
      <c r="I37" s="66" t="s">
        <v>228</v>
      </c>
      <c r="J37" s="7"/>
      <c r="K37" s="47"/>
      <c r="L37" s="47"/>
      <c r="M37" s="47"/>
      <c r="N37" s="47"/>
      <c r="O37" s="7"/>
      <c r="P37" s="7"/>
      <c r="Q37" s="7"/>
      <c r="R37" s="7"/>
      <c r="S37" s="7"/>
      <c r="T37" s="7"/>
      <c r="U37" s="7"/>
      <c r="V37" s="7"/>
      <c r="W37" s="7"/>
      <c r="X37" s="7"/>
      <c r="Y37" s="7"/>
      <c r="Z37" s="7"/>
      <c r="AA37" s="4"/>
      <c r="AB37" s="4"/>
      <c r="AC37" s="4"/>
      <c r="AD37" s="4"/>
      <c r="AE37" s="4"/>
      <c r="AF37" s="4"/>
      <c r="AG37" s="4"/>
      <c r="AH37" s="4"/>
      <c r="AI37" s="4"/>
      <c r="AJ37" s="4"/>
      <c r="AK37" s="4"/>
      <c r="AL37" s="4"/>
      <c r="AM37" s="4"/>
      <c r="AN37" s="4"/>
      <c r="AO37" s="4"/>
      <c r="AP37" s="4"/>
      <c r="AQ37" s="4"/>
      <c r="AR37" s="4"/>
      <c r="AS37" s="4"/>
      <c r="AT37" s="4"/>
      <c r="AU37" s="4"/>
      <c r="AV37" s="4"/>
    </row>
    <row r="38" spans="1:48" x14ac:dyDescent="0.35">
      <c r="A38" s="168" t="s">
        <v>134</v>
      </c>
      <c r="B38" s="11"/>
      <c r="C38" s="12"/>
      <c r="D38" s="17" t="s">
        <v>225</v>
      </c>
      <c r="E38" s="39">
        <f>HEX2DEC(D38)*C36</f>
        <v>0.1220703125</v>
      </c>
      <c r="F38" s="39">
        <f t="shared" si="0"/>
        <v>0.1220703125</v>
      </c>
      <c r="G38" s="13" t="s">
        <v>227</v>
      </c>
      <c r="H38" s="92">
        <f>F38/1000</f>
        <v>1.220703125E-4</v>
      </c>
      <c r="I38" s="66" t="s">
        <v>228</v>
      </c>
      <c r="J38" s="7"/>
      <c r="K38" s="47"/>
      <c r="L38" s="47"/>
      <c r="M38" s="47"/>
      <c r="N38" s="4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row>
    <row r="39" spans="1:48" x14ac:dyDescent="0.35">
      <c r="A39" s="168" t="s">
        <v>134</v>
      </c>
      <c r="B39" s="12"/>
      <c r="C39" s="12" t="s">
        <v>67</v>
      </c>
      <c r="D39" s="13" t="s">
        <v>226</v>
      </c>
      <c r="E39" s="39">
        <f>HEX2DEC(D39)*C36</f>
        <v>1000.48828125</v>
      </c>
      <c r="F39" s="39">
        <f t="shared" si="0"/>
        <v>1000.48828125</v>
      </c>
      <c r="G39" s="13" t="s">
        <v>227</v>
      </c>
      <c r="H39" s="92">
        <f>F39/1000</f>
        <v>1.00048828125</v>
      </c>
      <c r="I39" s="66" t="s">
        <v>228</v>
      </c>
      <c r="J39" s="7"/>
      <c r="K39" s="47"/>
      <c r="L39" s="47"/>
      <c r="M39" s="47"/>
      <c r="N39" s="4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row>
    <row r="40" spans="1:48" ht="13.15" thickBot="1" x14ac:dyDescent="0.4">
      <c r="A40" s="165" t="s">
        <v>134</v>
      </c>
      <c r="B40" s="14"/>
      <c r="C40" s="42" t="s">
        <v>68</v>
      </c>
      <c r="D40" s="15" t="s">
        <v>38</v>
      </c>
      <c r="E40" s="79">
        <f>HEX2DEC(D40)*C36</f>
        <v>7999.8779296875</v>
      </c>
      <c r="F40" s="79">
        <f t="shared" si="0"/>
        <v>7999.8779296875</v>
      </c>
      <c r="G40" s="15" t="s">
        <v>227</v>
      </c>
      <c r="H40" s="169">
        <f>F40/1000</f>
        <v>7.9998779296875</v>
      </c>
      <c r="I40" s="93" t="s">
        <v>228</v>
      </c>
      <c r="J40" s="7"/>
      <c r="K40" s="47"/>
      <c r="L40" s="47"/>
      <c r="M40" s="47"/>
      <c r="N40" s="4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row>
    <row r="41" spans="1:48" x14ac:dyDescent="0.35">
      <c r="A41" s="70" t="s">
        <v>135</v>
      </c>
      <c r="B41" s="16" t="s">
        <v>44</v>
      </c>
      <c r="C41" s="16" t="s">
        <v>69</v>
      </c>
      <c r="D41" s="10" t="s">
        <v>50</v>
      </c>
      <c r="E41" s="71"/>
      <c r="F41" s="86" t="s">
        <v>39</v>
      </c>
      <c r="G41" s="172" t="s">
        <v>227</v>
      </c>
      <c r="H41" s="86" t="s">
        <v>42</v>
      </c>
      <c r="I41" s="173" t="s">
        <v>228</v>
      </c>
      <c r="J41" s="7"/>
      <c r="K41" s="47"/>
      <c r="L41" s="47"/>
      <c r="M41" s="47"/>
      <c r="N41" s="4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row>
    <row r="42" spans="1:48" x14ac:dyDescent="0.35">
      <c r="A42" s="166" t="s">
        <v>135</v>
      </c>
      <c r="B42" s="27"/>
      <c r="C42" s="27" t="s">
        <v>296</v>
      </c>
      <c r="D42" s="28" t="s">
        <v>37</v>
      </c>
      <c r="E42" s="40">
        <f>HEX2DEC(D42)*C41</f>
        <v>0</v>
      </c>
      <c r="F42" s="40">
        <f>E42*1000</f>
        <v>0</v>
      </c>
      <c r="G42" s="13" t="s">
        <v>227</v>
      </c>
      <c r="H42" s="94">
        <f>F42/1000</f>
        <v>0</v>
      </c>
      <c r="I42" s="66" t="s">
        <v>228</v>
      </c>
      <c r="J42" s="7"/>
      <c r="K42" s="47"/>
      <c r="L42" s="47"/>
      <c r="M42" s="47"/>
      <c r="N42" s="4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row>
    <row r="43" spans="1:48" x14ac:dyDescent="0.35">
      <c r="A43" s="166" t="s">
        <v>135</v>
      </c>
      <c r="B43" s="27"/>
      <c r="C43" s="27"/>
      <c r="D43" s="28" t="s">
        <v>225</v>
      </c>
      <c r="E43" s="39">
        <f>HEX2DEC(D43)*C41</f>
        <v>1E-3</v>
      </c>
      <c r="F43" s="40">
        <f>E43*1000</f>
        <v>1</v>
      </c>
      <c r="G43" s="13" t="s">
        <v>227</v>
      </c>
      <c r="H43" s="94">
        <f>F43/1000</f>
        <v>1E-3</v>
      </c>
      <c r="I43" s="66" t="s">
        <v>228</v>
      </c>
      <c r="J43" s="7"/>
      <c r="K43" s="47"/>
      <c r="L43" s="47"/>
      <c r="M43" s="47"/>
      <c r="N43" s="4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row>
    <row r="44" spans="1:48" x14ac:dyDescent="0.35">
      <c r="A44" s="168" t="s">
        <v>135</v>
      </c>
      <c r="B44" s="12"/>
      <c r="C44" s="12" t="s">
        <v>67</v>
      </c>
      <c r="D44" s="13" t="s">
        <v>226</v>
      </c>
      <c r="E44" s="39">
        <f>HEX2DEC(D44)*C41</f>
        <v>8.1959999999999997</v>
      </c>
      <c r="F44" s="40">
        <f>E44*1000</f>
        <v>8196</v>
      </c>
      <c r="G44" s="13" t="s">
        <v>227</v>
      </c>
      <c r="H44" s="94">
        <f>F44/1000</f>
        <v>8.1959999999999997</v>
      </c>
      <c r="I44" s="66" t="s">
        <v>228</v>
      </c>
      <c r="J44" s="7"/>
      <c r="K44" s="47"/>
      <c r="L44" s="47"/>
      <c r="M44" s="47"/>
      <c r="N44" s="4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row>
    <row r="45" spans="1:48" ht="13.15" thickBot="1" x14ac:dyDescent="0.4">
      <c r="A45" s="165" t="s">
        <v>135</v>
      </c>
      <c r="B45" s="14"/>
      <c r="C45" s="42" t="s">
        <v>68</v>
      </c>
      <c r="D45" s="15" t="s">
        <v>38</v>
      </c>
      <c r="E45" s="79">
        <f>HEX2DEC(D45)*C41</f>
        <v>65.534999999999997</v>
      </c>
      <c r="F45" s="68">
        <f>E45*1000</f>
        <v>65535</v>
      </c>
      <c r="G45" s="15" t="s">
        <v>227</v>
      </c>
      <c r="H45" s="102">
        <f>F45/1000</f>
        <v>65.534999999999997</v>
      </c>
      <c r="I45" s="93" t="s">
        <v>228</v>
      </c>
      <c r="J45" s="7"/>
      <c r="K45" s="47"/>
      <c r="L45" s="47"/>
      <c r="M45" s="47"/>
      <c r="N45" s="4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row>
    <row r="46" spans="1:48" x14ac:dyDescent="0.35">
      <c r="A46" s="70" t="s">
        <v>136</v>
      </c>
      <c r="B46" s="16" t="s">
        <v>44</v>
      </c>
      <c r="C46" s="16" t="s">
        <v>70</v>
      </c>
      <c r="D46" s="10" t="s">
        <v>50</v>
      </c>
      <c r="E46" s="71"/>
      <c r="F46" s="86" t="s">
        <v>229</v>
      </c>
      <c r="G46" s="172" t="s">
        <v>227</v>
      </c>
      <c r="H46" s="86" t="s">
        <v>41</v>
      </c>
      <c r="I46" s="173" t="s">
        <v>228</v>
      </c>
      <c r="J46" s="7"/>
      <c r="K46" s="47"/>
      <c r="L46" s="47"/>
      <c r="M46" s="47"/>
      <c r="N46" s="4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row>
    <row r="47" spans="1:48" x14ac:dyDescent="0.35">
      <c r="A47" s="166" t="s">
        <v>136</v>
      </c>
      <c r="B47" s="27"/>
      <c r="C47" s="27" t="s">
        <v>297</v>
      </c>
      <c r="D47" s="28" t="s">
        <v>37</v>
      </c>
      <c r="E47" s="40">
        <f>HEX2DEC(D47)*C46</f>
        <v>0</v>
      </c>
      <c r="F47" s="40">
        <f>E47*1000</f>
        <v>0</v>
      </c>
      <c r="G47" s="13" t="s">
        <v>227</v>
      </c>
      <c r="H47" s="87">
        <f>F47/1000</f>
        <v>0</v>
      </c>
      <c r="I47" s="66" t="s">
        <v>228</v>
      </c>
      <c r="J47" s="7"/>
      <c r="K47" s="47"/>
      <c r="L47" s="47"/>
      <c r="M47" s="47"/>
      <c r="N47" s="4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row>
    <row r="48" spans="1:48" x14ac:dyDescent="0.35">
      <c r="A48" s="166" t="s">
        <v>136</v>
      </c>
      <c r="B48" s="27"/>
      <c r="C48" s="27"/>
      <c r="D48" s="28" t="s">
        <v>225</v>
      </c>
      <c r="E48" s="39">
        <f>HEX2DEC(D48)*C46</f>
        <v>0.01</v>
      </c>
      <c r="F48" s="40">
        <f>E48*1000</f>
        <v>10</v>
      </c>
      <c r="G48" s="13" t="s">
        <v>227</v>
      </c>
      <c r="H48" s="87">
        <f>F48/1000</f>
        <v>0.01</v>
      </c>
      <c r="I48" s="66" t="s">
        <v>228</v>
      </c>
      <c r="J48" s="7"/>
      <c r="K48" s="47"/>
      <c r="L48" s="47"/>
      <c r="M48" s="47"/>
      <c r="N48" s="4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row>
    <row r="49" spans="1:48" x14ac:dyDescent="0.35">
      <c r="A49" s="168" t="s">
        <v>136</v>
      </c>
      <c r="B49" s="12"/>
      <c r="C49" s="12" t="s">
        <v>67</v>
      </c>
      <c r="D49" s="13" t="s">
        <v>226</v>
      </c>
      <c r="E49" s="39">
        <f>HEX2DEC(D49)*C46</f>
        <v>81.960000000000008</v>
      </c>
      <c r="F49" s="40">
        <f>E49*1000</f>
        <v>81960.000000000015</v>
      </c>
      <c r="G49" s="13" t="s">
        <v>227</v>
      </c>
      <c r="H49" s="87">
        <f>F49/1000</f>
        <v>81.960000000000008</v>
      </c>
      <c r="I49" s="66" t="s">
        <v>228</v>
      </c>
      <c r="J49" s="7"/>
      <c r="K49" s="47"/>
      <c r="L49" s="47"/>
      <c r="M49" s="47"/>
      <c r="N49" s="4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row>
    <row r="50" spans="1:48" ht="13.15" thickBot="1" x14ac:dyDescent="0.4">
      <c r="A50" s="165" t="s">
        <v>136</v>
      </c>
      <c r="B50" s="14"/>
      <c r="C50" s="14" t="s">
        <v>68</v>
      </c>
      <c r="D50" s="15" t="s">
        <v>38</v>
      </c>
      <c r="E50" s="79">
        <f>HEX2DEC(D50)*C46</f>
        <v>655.35</v>
      </c>
      <c r="F50" s="68">
        <f>E50*1000</f>
        <v>655350</v>
      </c>
      <c r="G50" s="15" t="s">
        <v>227</v>
      </c>
      <c r="H50" s="95">
        <f>F50/1000</f>
        <v>655.35</v>
      </c>
      <c r="I50" s="93" t="s">
        <v>228</v>
      </c>
      <c r="J50" s="7"/>
      <c r="K50" s="47"/>
      <c r="L50" s="47"/>
      <c r="M50" s="47"/>
      <c r="N50" s="4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row>
    <row r="51" spans="1:48" x14ac:dyDescent="0.35">
      <c r="A51" s="70" t="s">
        <v>137</v>
      </c>
      <c r="B51" s="20" t="s">
        <v>34</v>
      </c>
      <c r="C51" s="20" t="s">
        <v>71</v>
      </c>
      <c r="D51" s="10" t="s">
        <v>50</v>
      </c>
      <c r="E51" s="71"/>
      <c r="F51" s="86" t="s">
        <v>72</v>
      </c>
      <c r="G51" s="172" t="s">
        <v>230</v>
      </c>
      <c r="H51" s="96"/>
      <c r="I51" s="51"/>
      <c r="J51" s="7"/>
      <c r="K51" s="47"/>
      <c r="L51" s="47"/>
      <c r="M51" s="47"/>
      <c r="N51" s="4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row>
    <row r="52" spans="1:48" x14ac:dyDescent="0.35">
      <c r="A52" s="166" t="s">
        <v>137</v>
      </c>
      <c r="B52" s="29"/>
      <c r="C52" s="29" t="s">
        <v>298</v>
      </c>
      <c r="D52" s="28" t="s">
        <v>37</v>
      </c>
      <c r="E52" s="40">
        <f>HEX2DEC(D52)*C51</f>
        <v>0</v>
      </c>
      <c r="F52" s="97">
        <f>E52</f>
        <v>0</v>
      </c>
      <c r="G52" s="13" t="s">
        <v>230</v>
      </c>
      <c r="H52" s="87"/>
      <c r="I52" s="66"/>
      <c r="J52" s="7"/>
      <c r="K52" s="47"/>
      <c r="L52" s="47"/>
      <c r="M52" s="47"/>
      <c r="N52" s="4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row>
    <row r="53" spans="1:48" x14ac:dyDescent="0.35">
      <c r="A53" s="168" t="s">
        <v>137</v>
      </c>
      <c r="B53" s="11"/>
      <c r="C53" s="11"/>
      <c r="D53" s="28" t="s">
        <v>225</v>
      </c>
      <c r="E53" s="39">
        <f>HEX2DEC(D53)*C51</f>
        <v>3.90625E-3</v>
      </c>
      <c r="F53" s="97">
        <f>E53</f>
        <v>3.90625E-3</v>
      </c>
      <c r="G53" s="13" t="s">
        <v>230</v>
      </c>
      <c r="H53" s="87"/>
      <c r="I53" s="66"/>
      <c r="J53" s="7"/>
      <c r="K53" s="47"/>
      <c r="L53" s="47"/>
      <c r="M53" s="47"/>
      <c r="N53" s="4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row>
    <row r="54" spans="1:48" x14ac:dyDescent="0.35">
      <c r="A54" s="167" t="s">
        <v>137</v>
      </c>
      <c r="B54" s="23"/>
      <c r="C54" s="23"/>
      <c r="D54" s="28" t="s">
        <v>73</v>
      </c>
      <c r="E54" s="40">
        <f>HEX2DEC(D54)*C51</f>
        <v>128</v>
      </c>
      <c r="F54" s="97">
        <f>E54</f>
        <v>128</v>
      </c>
      <c r="G54" s="13" t="s">
        <v>230</v>
      </c>
      <c r="H54" s="87"/>
      <c r="I54" s="66"/>
      <c r="J54" s="7"/>
      <c r="K54" s="47"/>
      <c r="L54" s="47"/>
      <c r="M54" s="47"/>
      <c r="N54" s="4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row>
    <row r="55" spans="1:48" ht="13.15" thickBot="1" x14ac:dyDescent="0.4">
      <c r="A55" s="165" t="s">
        <v>137</v>
      </c>
      <c r="B55" s="21"/>
      <c r="C55" s="21"/>
      <c r="D55" s="67" t="s">
        <v>38</v>
      </c>
      <c r="E55" s="79">
        <f>HEX2DEC(D55)*C51</f>
        <v>255.99609375</v>
      </c>
      <c r="F55" s="140">
        <f>E55</f>
        <v>255.99609375</v>
      </c>
      <c r="G55" s="15" t="s">
        <v>230</v>
      </c>
      <c r="H55" s="95"/>
      <c r="I55" s="93"/>
      <c r="J55" s="7"/>
      <c r="K55" s="47"/>
      <c r="L55" s="47"/>
      <c r="M55" s="47"/>
      <c r="N55" s="4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row>
    <row r="56" spans="1:48" x14ac:dyDescent="0.35">
      <c r="A56" s="70" t="s">
        <v>138</v>
      </c>
      <c r="B56" s="20" t="s">
        <v>34</v>
      </c>
      <c r="C56" s="16" t="s">
        <v>69</v>
      </c>
      <c r="D56" s="10" t="s">
        <v>50</v>
      </c>
      <c r="E56" s="71"/>
      <c r="F56" s="86" t="s">
        <v>42</v>
      </c>
      <c r="G56" s="172" t="s">
        <v>245</v>
      </c>
      <c r="H56" s="96"/>
      <c r="I56" s="51"/>
      <c r="J56" s="7"/>
      <c r="K56" s="47"/>
      <c r="L56" s="47"/>
      <c r="M56" s="47"/>
      <c r="N56" s="4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row>
    <row r="57" spans="1:48" x14ac:dyDescent="0.35">
      <c r="A57" s="166" t="s">
        <v>138</v>
      </c>
      <c r="B57" s="29"/>
      <c r="C57" s="29" t="s">
        <v>299</v>
      </c>
      <c r="D57" s="28" t="s">
        <v>37</v>
      </c>
      <c r="E57" s="40">
        <f>HEX2DEC(D57)*C56</f>
        <v>0</v>
      </c>
      <c r="F57" s="39">
        <f>E57</f>
        <v>0</v>
      </c>
      <c r="G57" s="13" t="s">
        <v>245</v>
      </c>
      <c r="H57" s="87"/>
      <c r="I57" s="66"/>
      <c r="J57" s="7"/>
      <c r="K57" s="47"/>
      <c r="L57" s="47"/>
      <c r="M57" s="47"/>
      <c r="N57" s="4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row>
    <row r="58" spans="1:48" x14ac:dyDescent="0.35">
      <c r="A58" s="168" t="s">
        <v>138</v>
      </c>
      <c r="B58" s="11"/>
      <c r="C58" s="27"/>
      <c r="D58" s="28" t="s">
        <v>225</v>
      </c>
      <c r="E58" s="39">
        <f>HEX2DEC(D58)*C56</f>
        <v>1E-3</v>
      </c>
      <c r="F58" s="39">
        <f>E58</f>
        <v>1E-3</v>
      </c>
      <c r="G58" s="13" t="s">
        <v>245</v>
      </c>
      <c r="H58" s="87"/>
      <c r="I58" s="66"/>
      <c r="J58" s="7"/>
      <c r="K58" s="47"/>
      <c r="L58" s="47"/>
      <c r="M58" s="47"/>
      <c r="N58" s="4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row>
    <row r="59" spans="1:48" x14ac:dyDescent="0.35">
      <c r="A59" s="168" t="s">
        <v>138</v>
      </c>
      <c r="B59" s="11"/>
      <c r="C59" s="12" t="s">
        <v>74</v>
      </c>
      <c r="D59" s="28" t="s">
        <v>73</v>
      </c>
      <c r="E59" s="39">
        <f>HEX2DEC(D59)*C56</f>
        <v>32.768000000000001</v>
      </c>
      <c r="F59" s="39">
        <f>E59</f>
        <v>32.768000000000001</v>
      </c>
      <c r="G59" s="13" t="s">
        <v>245</v>
      </c>
      <c r="H59" s="87"/>
      <c r="I59" s="66"/>
      <c r="J59" s="7"/>
      <c r="K59" s="47"/>
      <c r="L59" s="47"/>
      <c r="M59" s="47"/>
      <c r="N59" s="4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row>
    <row r="60" spans="1:48" ht="13.15" thickBot="1" x14ac:dyDescent="0.4">
      <c r="A60" s="165" t="s">
        <v>138</v>
      </c>
      <c r="B60" s="21"/>
      <c r="C60" s="14" t="s">
        <v>75</v>
      </c>
      <c r="D60" s="67" t="s">
        <v>38</v>
      </c>
      <c r="E60" s="79">
        <f>HEX2DEC(D60)*C56</f>
        <v>65.534999999999997</v>
      </c>
      <c r="F60" s="79">
        <f>E60</f>
        <v>65.534999999999997</v>
      </c>
      <c r="G60" s="15" t="s">
        <v>245</v>
      </c>
      <c r="H60" s="95"/>
      <c r="I60" s="93"/>
      <c r="J60" s="7"/>
      <c r="K60" s="47"/>
      <c r="L60" s="47"/>
      <c r="M60" s="47"/>
      <c r="N60" s="4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row>
    <row r="61" spans="1:48" x14ac:dyDescent="0.35">
      <c r="A61" s="70" t="s">
        <v>139</v>
      </c>
      <c r="B61" s="20" t="s">
        <v>34</v>
      </c>
      <c r="C61" s="16" t="s">
        <v>70</v>
      </c>
      <c r="D61" s="10" t="s">
        <v>50</v>
      </c>
      <c r="E61" s="71"/>
      <c r="F61" s="86" t="s">
        <v>41</v>
      </c>
      <c r="G61" s="172" t="s">
        <v>245</v>
      </c>
      <c r="H61" s="96"/>
      <c r="I61" s="51"/>
      <c r="J61" s="7"/>
      <c r="K61" s="47"/>
      <c r="L61" s="47"/>
      <c r="M61" s="47"/>
      <c r="N61" s="4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row>
    <row r="62" spans="1:48" x14ac:dyDescent="0.35">
      <c r="A62" s="166" t="s">
        <v>139</v>
      </c>
      <c r="B62" s="29"/>
      <c r="C62" s="29" t="s">
        <v>300</v>
      </c>
      <c r="D62" s="28" t="s">
        <v>37</v>
      </c>
      <c r="E62" s="40">
        <f>HEX2DEC(D62)*C61</f>
        <v>0</v>
      </c>
      <c r="F62" s="41">
        <f>E62</f>
        <v>0</v>
      </c>
      <c r="G62" s="13" t="s">
        <v>245</v>
      </c>
      <c r="H62" s="87"/>
      <c r="I62" s="66"/>
      <c r="J62" s="7"/>
      <c r="K62" s="47"/>
      <c r="L62" s="47"/>
      <c r="M62" s="47"/>
      <c r="N62" s="4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row>
    <row r="63" spans="1:48" x14ac:dyDescent="0.35">
      <c r="A63" s="168" t="s">
        <v>139</v>
      </c>
      <c r="B63" s="11"/>
      <c r="C63" s="27"/>
      <c r="D63" s="28" t="s">
        <v>225</v>
      </c>
      <c r="E63" s="41">
        <f>HEX2DEC(D63)*C61</f>
        <v>0.01</v>
      </c>
      <c r="F63" s="41">
        <f>E63</f>
        <v>0.01</v>
      </c>
      <c r="G63" s="13" t="s">
        <v>245</v>
      </c>
      <c r="H63" s="87"/>
      <c r="I63" s="66"/>
      <c r="J63" s="7"/>
      <c r="K63" s="47"/>
      <c r="L63" s="47"/>
      <c r="M63" s="47"/>
      <c r="N63" s="4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row>
    <row r="64" spans="1:48" x14ac:dyDescent="0.35">
      <c r="A64" s="168" t="s">
        <v>139</v>
      </c>
      <c r="B64" s="11"/>
      <c r="C64" s="12" t="s">
        <v>74</v>
      </c>
      <c r="D64" s="28" t="s">
        <v>73</v>
      </c>
      <c r="E64" s="41">
        <f>HEX2DEC(D64)*C61</f>
        <v>327.68</v>
      </c>
      <c r="F64" s="41">
        <f>E64</f>
        <v>327.68</v>
      </c>
      <c r="G64" s="13" t="s">
        <v>245</v>
      </c>
      <c r="H64" s="87"/>
      <c r="I64" s="66"/>
      <c r="J64" s="7"/>
      <c r="K64" s="47"/>
      <c r="L64" s="47"/>
      <c r="M64" s="47"/>
      <c r="N64" s="4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row>
    <row r="65" spans="1:48" ht="13.15" thickBot="1" x14ac:dyDescent="0.4">
      <c r="A65" s="165" t="s">
        <v>139</v>
      </c>
      <c r="B65" s="21"/>
      <c r="C65" s="14" t="s">
        <v>75</v>
      </c>
      <c r="D65" s="67" t="s">
        <v>38</v>
      </c>
      <c r="E65" s="77">
        <f>HEX2DEC(D65)*C61</f>
        <v>655.35</v>
      </c>
      <c r="F65" s="77">
        <f>E65</f>
        <v>655.35</v>
      </c>
      <c r="G65" s="15" t="s">
        <v>245</v>
      </c>
      <c r="H65" s="95"/>
      <c r="I65" s="93"/>
      <c r="J65" s="7"/>
      <c r="K65" s="47"/>
      <c r="L65" s="47"/>
      <c r="M65" s="47"/>
      <c r="N65" s="4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row>
    <row r="66" spans="1:48" x14ac:dyDescent="0.35">
      <c r="A66" s="70" t="s">
        <v>140</v>
      </c>
      <c r="B66" s="16" t="s">
        <v>76</v>
      </c>
      <c r="C66" s="16" t="s">
        <v>176</v>
      </c>
      <c r="D66" s="10" t="s">
        <v>50</v>
      </c>
      <c r="E66" s="71"/>
      <c r="F66" s="86" t="s">
        <v>42</v>
      </c>
      <c r="G66" s="172" t="s">
        <v>231</v>
      </c>
      <c r="H66" s="46" t="s">
        <v>77</v>
      </c>
      <c r="I66" s="83" t="s">
        <v>79</v>
      </c>
      <c r="J66" s="7"/>
      <c r="K66" s="47"/>
      <c r="L66" s="47"/>
      <c r="M66" s="18"/>
      <c r="N66" s="33"/>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row>
    <row r="67" spans="1:48" x14ac:dyDescent="0.35">
      <c r="A67" s="166" t="s">
        <v>140</v>
      </c>
      <c r="B67" s="27"/>
      <c r="C67" s="27" t="s">
        <v>301</v>
      </c>
      <c r="D67" s="28" t="s">
        <v>37</v>
      </c>
      <c r="E67" s="40">
        <f>HEX2DEC(D67)*C66</f>
        <v>0</v>
      </c>
      <c r="F67" s="39">
        <f>E67/1000</f>
        <v>0</v>
      </c>
      <c r="G67" s="13" t="s">
        <v>231</v>
      </c>
      <c r="H67" s="90" t="s">
        <v>78</v>
      </c>
      <c r="I67" s="66" t="s">
        <v>79</v>
      </c>
      <c r="J67" s="4"/>
      <c r="K67" s="48"/>
      <c r="L67" s="48"/>
      <c r="M67" s="19"/>
      <c r="N67" s="4"/>
      <c r="O67" s="4"/>
      <c r="P67" s="7"/>
      <c r="Q67" s="7"/>
      <c r="R67" s="7"/>
      <c r="S67" s="7"/>
      <c r="T67" s="7"/>
      <c r="U67" s="7"/>
      <c r="V67" s="4"/>
      <c r="W67" s="4"/>
      <c r="X67" s="4"/>
      <c r="Y67" s="4"/>
      <c r="Z67" s="4"/>
      <c r="AA67" s="7"/>
      <c r="AB67" s="7"/>
      <c r="AC67" s="7"/>
      <c r="AD67" s="7"/>
      <c r="AE67" s="7"/>
      <c r="AF67" s="7"/>
      <c r="AG67" s="7"/>
      <c r="AH67" s="7"/>
      <c r="AI67" s="7"/>
      <c r="AJ67" s="7"/>
      <c r="AK67" s="7"/>
      <c r="AL67" s="7"/>
      <c r="AM67" s="7"/>
      <c r="AN67" s="7"/>
      <c r="AO67" s="7"/>
      <c r="AP67" s="7"/>
      <c r="AQ67" s="7"/>
      <c r="AR67" s="7"/>
      <c r="AS67" s="7"/>
      <c r="AT67" s="7"/>
      <c r="AU67" s="7"/>
      <c r="AV67" s="7"/>
    </row>
    <row r="68" spans="1:48" x14ac:dyDescent="0.35">
      <c r="A68" s="168" t="s">
        <v>140</v>
      </c>
      <c r="B68" s="12"/>
      <c r="C68" s="12" t="s">
        <v>80</v>
      </c>
      <c r="D68" s="13" t="s">
        <v>73</v>
      </c>
      <c r="E68" s="40">
        <f>HEX2DEC(D68)*C66</f>
        <v>32768</v>
      </c>
      <c r="F68" s="39">
        <f>E68/1000</f>
        <v>32.768000000000001</v>
      </c>
      <c r="G68" s="13" t="s">
        <v>231</v>
      </c>
      <c r="H68" s="90" t="s">
        <v>81</v>
      </c>
      <c r="I68" s="66" t="s">
        <v>79</v>
      </c>
      <c r="J68" s="7"/>
      <c r="K68" s="47"/>
      <c r="L68" s="47"/>
      <c r="M68" s="18"/>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row>
    <row r="69" spans="1:48" x14ac:dyDescent="0.35">
      <c r="A69" s="168" t="s">
        <v>140</v>
      </c>
      <c r="B69" s="12"/>
      <c r="C69" s="12" t="s">
        <v>82</v>
      </c>
      <c r="D69" s="28" t="s">
        <v>83</v>
      </c>
      <c r="E69" s="40">
        <f>HEX2DEC(D69)*C66</f>
        <v>60000</v>
      </c>
      <c r="F69" s="39">
        <f>E69/1000</f>
        <v>60</v>
      </c>
      <c r="G69" s="13" t="s">
        <v>231</v>
      </c>
      <c r="H69" s="90" t="s">
        <v>84</v>
      </c>
      <c r="I69" s="89" t="s">
        <v>79</v>
      </c>
      <c r="J69" s="7"/>
      <c r="K69" s="47"/>
      <c r="L69" s="47"/>
      <c r="M69" s="18"/>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row>
    <row r="70" spans="1:48" ht="13.15" thickBot="1" x14ac:dyDescent="0.4">
      <c r="A70" s="165" t="s">
        <v>140</v>
      </c>
      <c r="B70" s="14"/>
      <c r="C70" s="98" t="s">
        <v>85</v>
      </c>
      <c r="D70" s="15" t="s">
        <v>38</v>
      </c>
      <c r="E70" s="68">
        <f>HEX2DEC(D70)*C66</f>
        <v>65535</v>
      </c>
      <c r="F70" s="79">
        <f>E70/1000</f>
        <v>65.534999999999997</v>
      </c>
      <c r="G70" s="67" t="s">
        <v>231</v>
      </c>
      <c r="H70" s="91" t="s">
        <v>86</v>
      </c>
      <c r="I70" s="50" t="s">
        <v>79</v>
      </c>
      <c r="J70" s="4"/>
      <c r="K70" s="48"/>
      <c r="L70" s="48"/>
      <c r="M70" s="19"/>
      <c r="N70" s="4"/>
      <c r="O70" s="4"/>
      <c r="P70" s="7"/>
      <c r="Q70" s="7"/>
      <c r="R70" s="7"/>
      <c r="S70" s="7"/>
      <c r="T70" s="7"/>
      <c r="U70" s="7"/>
      <c r="V70" s="4"/>
      <c r="W70" s="4"/>
      <c r="X70" s="4"/>
      <c r="Y70" s="4"/>
      <c r="Z70" s="4"/>
      <c r="AA70" s="7"/>
      <c r="AB70" s="7"/>
      <c r="AC70" s="7"/>
      <c r="AD70" s="7"/>
      <c r="AE70" s="7"/>
      <c r="AF70" s="7"/>
      <c r="AG70" s="7"/>
      <c r="AH70" s="7"/>
      <c r="AI70" s="7"/>
      <c r="AJ70" s="7"/>
      <c r="AK70" s="7"/>
      <c r="AL70" s="7"/>
      <c r="AM70" s="7"/>
      <c r="AN70" s="7"/>
      <c r="AO70" s="7"/>
      <c r="AP70" s="7"/>
      <c r="AQ70" s="7"/>
      <c r="AR70" s="7"/>
      <c r="AS70" s="7"/>
      <c r="AT70" s="7"/>
      <c r="AU70" s="7"/>
      <c r="AV70" s="7"/>
    </row>
    <row r="71" spans="1:48" x14ac:dyDescent="0.35">
      <c r="A71" s="70" t="s">
        <v>144</v>
      </c>
      <c r="B71" s="16" t="s">
        <v>76</v>
      </c>
      <c r="C71" s="16" t="s">
        <v>87</v>
      </c>
      <c r="D71" s="10" t="s">
        <v>50</v>
      </c>
      <c r="E71" s="71"/>
      <c r="F71" s="86" t="s">
        <v>40</v>
      </c>
      <c r="G71" s="172" t="s">
        <v>231</v>
      </c>
      <c r="H71" s="96" t="s">
        <v>88</v>
      </c>
      <c r="I71" s="51" t="s">
        <v>88</v>
      </c>
      <c r="J71" s="99"/>
      <c r="K71" s="54"/>
      <c r="L71" s="54"/>
      <c r="M71" s="6"/>
      <c r="N71" s="100"/>
      <c r="O71" s="99"/>
      <c r="P71" s="99"/>
      <c r="Q71" s="99"/>
      <c r="R71" s="99"/>
      <c r="S71" s="99"/>
      <c r="T71" s="99"/>
      <c r="U71" s="99"/>
      <c r="V71" s="99"/>
      <c r="W71" s="99"/>
      <c r="X71" s="99"/>
      <c r="Y71" s="99"/>
      <c r="Z71" s="99"/>
      <c r="AA71" s="7"/>
      <c r="AB71" s="7"/>
      <c r="AC71" s="7"/>
      <c r="AD71" s="7"/>
      <c r="AE71" s="7"/>
      <c r="AF71" s="7"/>
      <c r="AG71" s="7"/>
      <c r="AH71" s="7"/>
      <c r="AI71" s="7"/>
      <c r="AJ71" s="7"/>
      <c r="AK71" s="7"/>
      <c r="AL71" s="7"/>
      <c r="AM71" s="7"/>
      <c r="AN71" s="7"/>
      <c r="AO71" s="7"/>
      <c r="AP71" s="7"/>
      <c r="AQ71" s="7"/>
      <c r="AR71" s="7"/>
      <c r="AS71" s="7"/>
      <c r="AT71" s="7"/>
      <c r="AU71" s="7"/>
      <c r="AV71" s="7"/>
    </row>
    <row r="72" spans="1:48" x14ac:dyDescent="0.35">
      <c r="A72" s="166" t="s">
        <v>144</v>
      </c>
      <c r="B72" s="27"/>
      <c r="C72" s="27" t="s">
        <v>302</v>
      </c>
      <c r="D72" s="28" t="s">
        <v>37</v>
      </c>
      <c r="E72" s="40">
        <f>HEX2DEC(D72)*C71</f>
        <v>0</v>
      </c>
      <c r="F72" s="73">
        <f>E72/1000</f>
        <v>0</v>
      </c>
      <c r="G72" s="13" t="s">
        <v>231</v>
      </c>
      <c r="H72" s="90" t="s">
        <v>89</v>
      </c>
      <c r="I72" s="66" t="s">
        <v>88</v>
      </c>
      <c r="J72" s="101"/>
      <c r="K72" s="53"/>
      <c r="L72" s="53"/>
      <c r="M72" s="3"/>
      <c r="N72" s="101"/>
      <c r="O72" s="101"/>
      <c r="P72" s="99"/>
      <c r="Q72" s="99"/>
      <c r="R72" s="99"/>
      <c r="S72" s="99"/>
      <c r="T72" s="99"/>
      <c r="U72" s="99"/>
      <c r="V72" s="101"/>
      <c r="W72" s="101"/>
      <c r="X72" s="101"/>
      <c r="Y72" s="101"/>
      <c r="Z72" s="101"/>
      <c r="AA72" s="7"/>
      <c r="AB72" s="7"/>
      <c r="AC72" s="7"/>
      <c r="AD72" s="7"/>
      <c r="AE72" s="7"/>
      <c r="AF72" s="7"/>
      <c r="AG72" s="7"/>
      <c r="AH72" s="7"/>
      <c r="AI72" s="7"/>
      <c r="AJ72" s="7"/>
      <c r="AK72" s="7"/>
      <c r="AL72" s="7"/>
      <c r="AM72" s="7"/>
      <c r="AN72" s="7"/>
      <c r="AO72" s="7"/>
      <c r="AP72" s="7"/>
      <c r="AQ72" s="7"/>
      <c r="AR72" s="7"/>
      <c r="AS72" s="7"/>
      <c r="AT72" s="7"/>
      <c r="AU72" s="7"/>
      <c r="AV72" s="7"/>
    </row>
    <row r="73" spans="1:48" x14ac:dyDescent="0.35">
      <c r="A73" s="168" t="s">
        <v>144</v>
      </c>
      <c r="B73" s="12"/>
      <c r="C73" s="12" t="s">
        <v>80</v>
      </c>
      <c r="D73" s="13" t="s">
        <v>73</v>
      </c>
      <c r="E73" s="40">
        <f>HEX2DEC(D73)*C71</f>
        <v>3276800</v>
      </c>
      <c r="F73" s="73">
        <f>E73/1000</f>
        <v>3276.8</v>
      </c>
      <c r="G73" s="13" t="s">
        <v>231</v>
      </c>
      <c r="H73" s="90" t="s">
        <v>90</v>
      </c>
      <c r="I73" s="66" t="s">
        <v>88</v>
      </c>
      <c r="J73" s="99"/>
      <c r="K73" s="54"/>
      <c r="L73" s="54"/>
      <c r="M73" s="6"/>
      <c r="N73" s="99"/>
      <c r="O73" s="99"/>
      <c r="P73" s="99"/>
      <c r="Q73" s="99"/>
      <c r="R73" s="99"/>
      <c r="S73" s="99"/>
      <c r="T73" s="99"/>
      <c r="U73" s="99"/>
      <c r="V73" s="99"/>
      <c r="W73" s="99"/>
      <c r="X73" s="99"/>
      <c r="Y73" s="99"/>
      <c r="Z73" s="99"/>
      <c r="AA73" s="7"/>
      <c r="AB73" s="7"/>
      <c r="AC73" s="7"/>
      <c r="AD73" s="7"/>
      <c r="AE73" s="7"/>
      <c r="AF73" s="7"/>
      <c r="AG73" s="7"/>
      <c r="AH73" s="7"/>
      <c r="AI73" s="7"/>
      <c r="AJ73" s="7"/>
      <c r="AK73" s="7"/>
      <c r="AL73" s="7"/>
      <c r="AM73" s="7"/>
      <c r="AN73" s="7"/>
      <c r="AO73" s="7"/>
      <c r="AP73" s="7"/>
      <c r="AQ73" s="7"/>
      <c r="AR73" s="7"/>
      <c r="AS73" s="7"/>
      <c r="AT73" s="7"/>
      <c r="AU73" s="7"/>
      <c r="AV73" s="7"/>
    </row>
    <row r="74" spans="1:48" x14ac:dyDescent="0.35">
      <c r="A74" s="168" t="s">
        <v>144</v>
      </c>
      <c r="B74" s="12"/>
      <c r="C74" s="12" t="s">
        <v>82</v>
      </c>
      <c r="D74" s="28" t="s">
        <v>83</v>
      </c>
      <c r="E74" s="40">
        <f>HEX2DEC(D74)*C71</f>
        <v>6000000</v>
      </c>
      <c r="F74" s="73">
        <f>E74/1000</f>
        <v>6000</v>
      </c>
      <c r="G74" s="13" t="s">
        <v>231</v>
      </c>
      <c r="H74" s="90" t="s">
        <v>91</v>
      </c>
      <c r="I74" s="66" t="s">
        <v>88</v>
      </c>
      <c r="J74" s="99"/>
      <c r="K74" s="54"/>
      <c r="L74" s="54"/>
      <c r="M74" s="6"/>
      <c r="N74" s="99"/>
      <c r="O74" s="99"/>
      <c r="P74" s="99"/>
      <c r="Q74" s="99"/>
      <c r="R74" s="99"/>
      <c r="S74" s="99"/>
      <c r="T74" s="99"/>
      <c r="U74" s="99"/>
      <c r="V74" s="99"/>
      <c r="W74" s="99"/>
      <c r="X74" s="99"/>
      <c r="Y74" s="99"/>
      <c r="Z74" s="99"/>
      <c r="AA74" s="7"/>
      <c r="AB74" s="7"/>
      <c r="AC74" s="7"/>
      <c r="AD74" s="7"/>
      <c r="AE74" s="7"/>
      <c r="AF74" s="7"/>
      <c r="AG74" s="7"/>
      <c r="AH74" s="7"/>
      <c r="AI74" s="7"/>
      <c r="AJ74" s="7"/>
      <c r="AK74" s="7"/>
      <c r="AL74" s="7"/>
      <c r="AM74" s="7"/>
      <c r="AN74" s="7"/>
      <c r="AO74" s="7"/>
      <c r="AP74" s="7"/>
      <c r="AQ74" s="7"/>
      <c r="AR74" s="7"/>
      <c r="AS74" s="7"/>
      <c r="AT74" s="7"/>
      <c r="AU74" s="7"/>
      <c r="AV74" s="7"/>
    </row>
    <row r="75" spans="1:48" ht="13.15" thickBot="1" x14ac:dyDescent="0.4">
      <c r="A75" s="165" t="s">
        <v>144</v>
      </c>
      <c r="B75" s="14"/>
      <c r="C75" s="98" t="s">
        <v>85</v>
      </c>
      <c r="D75" s="15" t="s">
        <v>38</v>
      </c>
      <c r="E75" s="68">
        <f>HEX2DEC(D75)*C71</f>
        <v>6553500</v>
      </c>
      <c r="F75" s="75">
        <f>E75/1000</f>
        <v>6553.5</v>
      </c>
      <c r="G75" s="67" t="s">
        <v>231</v>
      </c>
      <c r="H75" s="91" t="s">
        <v>92</v>
      </c>
      <c r="I75" s="50" t="s">
        <v>88</v>
      </c>
      <c r="J75" s="101"/>
      <c r="K75" s="53"/>
      <c r="L75" s="53"/>
      <c r="M75" s="3"/>
      <c r="N75" s="101"/>
      <c r="O75" s="101"/>
      <c r="P75" s="99"/>
      <c r="Q75" s="99"/>
      <c r="R75" s="99"/>
      <c r="S75" s="99"/>
      <c r="T75" s="99"/>
      <c r="U75" s="99"/>
      <c r="V75" s="101"/>
      <c r="W75" s="101"/>
      <c r="X75" s="101"/>
      <c r="Y75" s="101"/>
      <c r="Z75" s="101"/>
      <c r="AA75" s="7"/>
      <c r="AB75" s="7"/>
      <c r="AC75" s="7"/>
      <c r="AD75" s="7"/>
      <c r="AE75" s="7"/>
      <c r="AF75" s="7"/>
      <c r="AG75" s="7"/>
      <c r="AH75" s="7"/>
      <c r="AI75" s="7"/>
      <c r="AJ75" s="7"/>
      <c r="AK75" s="7"/>
      <c r="AL75" s="7"/>
      <c r="AM75" s="7"/>
      <c r="AN75" s="7"/>
      <c r="AO75" s="7"/>
      <c r="AP75" s="7"/>
      <c r="AQ75" s="7"/>
      <c r="AR75" s="7"/>
      <c r="AS75" s="7"/>
      <c r="AT75" s="7"/>
      <c r="AU75" s="7"/>
      <c r="AV75" s="7"/>
    </row>
    <row r="76" spans="1:48" x14ac:dyDescent="0.35">
      <c r="A76" s="70" t="s">
        <v>145</v>
      </c>
      <c r="B76" s="16" t="s">
        <v>76</v>
      </c>
      <c r="C76" s="16" t="s">
        <v>176</v>
      </c>
      <c r="D76" s="10" t="s">
        <v>50</v>
      </c>
      <c r="E76" s="71"/>
      <c r="F76" s="86" t="s">
        <v>39</v>
      </c>
      <c r="G76" s="172" t="s">
        <v>231</v>
      </c>
      <c r="H76" s="96" t="s">
        <v>88</v>
      </c>
      <c r="I76" s="51" t="s">
        <v>88</v>
      </c>
      <c r="J76" s="7"/>
      <c r="K76" s="47"/>
      <c r="L76" s="47"/>
      <c r="M76" s="18"/>
      <c r="N76" s="7"/>
      <c r="O76" s="7"/>
      <c r="P76" s="7"/>
      <c r="Q76" s="7"/>
      <c r="R76" s="7"/>
      <c r="S76" s="7"/>
      <c r="T76" s="7"/>
      <c r="U76" s="7"/>
      <c r="V76" s="7"/>
      <c r="W76" s="7"/>
      <c r="X76" s="7"/>
      <c r="Y76" s="7"/>
      <c r="Z76" s="7"/>
      <c r="AA76" s="4"/>
      <c r="AB76" s="4"/>
      <c r="AC76" s="4"/>
      <c r="AD76" s="4"/>
      <c r="AE76" s="4"/>
      <c r="AF76" s="4"/>
      <c r="AG76" s="4"/>
      <c r="AH76" s="4"/>
      <c r="AI76" s="4"/>
      <c r="AJ76" s="4"/>
      <c r="AK76" s="4"/>
      <c r="AL76" s="4"/>
      <c r="AM76" s="4"/>
      <c r="AN76" s="4"/>
      <c r="AO76" s="4"/>
      <c r="AP76" s="4"/>
      <c r="AQ76" s="4"/>
      <c r="AR76" s="4"/>
      <c r="AS76" s="4"/>
      <c r="AT76" s="4"/>
      <c r="AU76" s="4"/>
      <c r="AV76" s="4"/>
    </row>
    <row r="77" spans="1:48" x14ac:dyDescent="0.35">
      <c r="A77" s="166" t="s">
        <v>145</v>
      </c>
      <c r="B77" s="27"/>
      <c r="C77" s="27" t="s">
        <v>303</v>
      </c>
      <c r="D77" s="28" t="s">
        <v>37</v>
      </c>
      <c r="E77" s="40">
        <f>HEX2DEC(D77)*C76</f>
        <v>0</v>
      </c>
      <c r="F77" s="40">
        <f>E77</f>
        <v>0</v>
      </c>
      <c r="G77" s="13" t="s">
        <v>231</v>
      </c>
      <c r="H77" s="90" t="s">
        <v>89</v>
      </c>
      <c r="I77" s="66" t="s">
        <v>88</v>
      </c>
      <c r="J77" s="7"/>
      <c r="K77" s="47"/>
      <c r="L77" s="47"/>
      <c r="M77" s="18"/>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row>
    <row r="78" spans="1:48" x14ac:dyDescent="0.35">
      <c r="A78" s="168" t="s">
        <v>145</v>
      </c>
      <c r="B78" s="12"/>
      <c r="C78" s="12" t="s">
        <v>80</v>
      </c>
      <c r="D78" s="13" t="s">
        <v>93</v>
      </c>
      <c r="E78" s="40">
        <f>HEX2DEC(D78)*C76</f>
        <v>60</v>
      </c>
      <c r="F78" s="40">
        <f>E78</f>
        <v>60</v>
      </c>
      <c r="G78" s="13" t="s">
        <v>231</v>
      </c>
      <c r="H78" s="90" t="s">
        <v>94</v>
      </c>
      <c r="I78" s="66" t="s">
        <v>88</v>
      </c>
      <c r="J78" s="7"/>
      <c r="K78" s="47"/>
      <c r="L78" s="47"/>
      <c r="M78" s="18"/>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row>
    <row r="79" spans="1:48" x14ac:dyDescent="0.35">
      <c r="A79" s="168" t="s">
        <v>145</v>
      </c>
      <c r="B79" s="12"/>
      <c r="C79" s="12" t="s">
        <v>82</v>
      </c>
      <c r="D79" s="28" t="s">
        <v>95</v>
      </c>
      <c r="E79" s="40">
        <f>HEX2DEC(D79)*C76</f>
        <v>3600</v>
      </c>
      <c r="F79" s="40">
        <f>E79</f>
        <v>3600</v>
      </c>
      <c r="G79" s="13" t="s">
        <v>231</v>
      </c>
      <c r="H79" s="90" t="s">
        <v>96</v>
      </c>
      <c r="I79" s="66" t="s">
        <v>88</v>
      </c>
      <c r="J79" s="7"/>
      <c r="K79" s="47"/>
      <c r="L79" s="47"/>
      <c r="M79" s="18"/>
      <c r="N79" s="7"/>
      <c r="O79" s="7"/>
      <c r="P79" s="7"/>
      <c r="Q79" s="7"/>
      <c r="R79" s="7"/>
      <c r="S79" s="7"/>
      <c r="T79" s="7"/>
      <c r="U79" s="7"/>
      <c r="V79" s="7"/>
      <c r="W79" s="7"/>
      <c r="X79" s="7"/>
      <c r="Y79" s="7"/>
      <c r="Z79" s="7"/>
      <c r="AA79" s="4"/>
      <c r="AB79" s="4"/>
      <c r="AC79" s="4"/>
      <c r="AD79" s="4"/>
      <c r="AE79" s="4"/>
      <c r="AF79" s="4"/>
      <c r="AG79" s="4"/>
      <c r="AH79" s="4"/>
      <c r="AI79" s="4"/>
      <c r="AJ79" s="4"/>
      <c r="AK79" s="4"/>
      <c r="AL79" s="4"/>
      <c r="AM79" s="4"/>
      <c r="AN79" s="4"/>
      <c r="AO79" s="4"/>
      <c r="AP79" s="4"/>
      <c r="AQ79" s="4"/>
      <c r="AR79" s="4"/>
      <c r="AS79" s="4"/>
      <c r="AT79" s="4"/>
      <c r="AU79" s="4"/>
      <c r="AV79" s="4"/>
    </row>
    <row r="80" spans="1:48" ht="13.15" thickBot="1" x14ac:dyDescent="0.4">
      <c r="A80" s="165" t="s">
        <v>145</v>
      </c>
      <c r="B80" s="14"/>
      <c r="C80" s="98" t="s">
        <v>85</v>
      </c>
      <c r="D80" s="15" t="s">
        <v>38</v>
      </c>
      <c r="E80" s="68">
        <f>HEX2DEC(D80)*C76</f>
        <v>65535</v>
      </c>
      <c r="F80" s="68">
        <f>E80</f>
        <v>65535</v>
      </c>
      <c r="G80" s="67" t="s">
        <v>231</v>
      </c>
      <c r="H80" s="91" t="s">
        <v>97</v>
      </c>
      <c r="I80" s="50" t="s">
        <v>88</v>
      </c>
      <c r="J80" s="7"/>
      <c r="K80" s="47"/>
      <c r="L80" s="47"/>
      <c r="M80" s="18"/>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row>
    <row r="81" spans="1:48" x14ac:dyDescent="0.35">
      <c r="A81" s="70" t="s">
        <v>146</v>
      </c>
      <c r="B81" s="20" t="s">
        <v>98</v>
      </c>
      <c r="C81" s="16" t="s">
        <v>176</v>
      </c>
      <c r="D81" s="10" t="s">
        <v>50</v>
      </c>
      <c r="E81" s="71"/>
      <c r="F81" s="86" t="s">
        <v>39</v>
      </c>
      <c r="G81" s="9" t="s">
        <v>232</v>
      </c>
      <c r="H81" s="86" t="s">
        <v>42</v>
      </c>
      <c r="I81" s="173" t="s">
        <v>233</v>
      </c>
      <c r="J81" s="7"/>
      <c r="K81" s="47"/>
      <c r="L81" s="47"/>
      <c r="M81" s="18"/>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row>
    <row r="82" spans="1:48" x14ac:dyDescent="0.35">
      <c r="A82" s="166" t="s">
        <v>146</v>
      </c>
      <c r="B82" s="29"/>
      <c r="C82" s="29" t="s">
        <v>304</v>
      </c>
      <c r="D82" s="28" t="s">
        <v>37</v>
      </c>
      <c r="E82" s="40">
        <f>HEX2DEC(D82)*C81</f>
        <v>0</v>
      </c>
      <c r="F82" s="40">
        <f>E82</f>
        <v>0</v>
      </c>
      <c r="G82" s="13" t="s">
        <v>232</v>
      </c>
      <c r="H82" s="94">
        <f>F82/1000</f>
        <v>0</v>
      </c>
      <c r="I82" s="66" t="s">
        <v>233</v>
      </c>
      <c r="J82" s="7"/>
      <c r="K82" s="47"/>
      <c r="L82" s="47"/>
      <c r="M82" s="18"/>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row>
    <row r="83" spans="1:48" x14ac:dyDescent="0.35">
      <c r="A83" s="168" t="s">
        <v>146</v>
      </c>
      <c r="B83" s="11"/>
      <c r="C83" s="27"/>
      <c r="D83" s="28" t="s">
        <v>225</v>
      </c>
      <c r="E83" s="40">
        <f>HEX2DEC(D83)*C81</f>
        <v>1</v>
      </c>
      <c r="F83" s="40">
        <f>E83</f>
        <v>1</v>
      </c>
      <c r="G83" s="13" t="s">
        <v>232</v>
      </c>
      <c r="H83" s="94">
        <f>F83/1000</f>
        <v>1E-3</v>
      </c>
      <c r="I83" s="66" t="s">
        <v>233</v>
      </c>
      <c r="J83" s="7"/>
      <c r="K83" s="47"/>
      <c r="L83" s="47"/>
      <c r="M83" s="18"/>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row>
    <row r="84" spans="1:48" x14ac:dyDescent="0.35">
      <c r="A84" s="168" t="s">
        <v>146</v>
      </c>
      <c r="B84" s="11"/>
      <c r="C84" s="12" t="s">
        <v>99</v>
      </c>
      <c r="D84" s="28" t="s">
        <v>73</v>
      </c>
      <c r="E84" s="40">
        <f>HEX2DEC(D84)*C81</f>
        <v>32768</v>
      </c>
      <c r="F84" s="40">
        <f>E84</f>
        <v>32768</v>
      </c>
      <c r="G84" s="13" t="s">
        <v>232</v>
      </c>
      <c r="H84" s="94">
        <f>F84/1000</f>
        <v>32.768000000000001</v>
      </c>
      <c r="I84" s="66" t="s">
        <v>233</v>
      </c>
      <c r="J84" s="7"/>
      <c r="K84" s="47"/>
      <c r="L84" s="47"/>
      <c r="M84" s="18"/>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row>
    <row r="85" spans="1:48" ht="13.15" thickBot="1" x14ac:dyDescent="0.4">
      <c r="A85" s="165" t="s">
        <v>146</v>
      </c>
      <c r="B85" s="21"/>
      <c r="C85" s="14" t="s">
        <v>100</v>
      </c>
      <c r="D85" s="67" t="s">
        <v>38</v>
      </c>
      <c r="E85" s="68">
        <f>HEX2DEC(D85)*C81</f>
        <v>65535</v>
      </c>
      <c r="F85" s="68">
        <f>E85</f>
        <v>65535</v>
      </c>
      <c r="G85" s="15" t="s">
        <v>232</v>
      </c>
      <c r="H85" s="102">
        <f>F85/1000</f>
        <v>65.534999999999997</v>
      </c>
      <c r="I85" s="93" t="s">
        <v>233</v>
      </c>
      <c r="J85" s="7"/>
      <c r="K85" s="47"/>
      <c r="L85" s="47"/>
      <c r="M85" s="18"/>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row>
    <row r="86" spans="1:48" x14ac:dyDescent="0.35">
      <c r="A86" s="70" t="s">
        <v>147</v>
      </c>
      <c r="B86" s="20" t="s">
        <v>98</v>
      </c>
      <c r="C86" s="16" t="s">
        <v>176</v>
      </c>
      <c r="D86" s="10" t="s">
        <v>50</v>
      </c>
      <c r="E86" s="71"/>
      <c r="F86" s="86" t="s">
        <v>39</v>
      </c>
      <c r="G86" s="172" t="s">
        <v>233</v>
      </c>
      <c r="H86" s="86" t="s">
        <v>42</v>
      </c>
      <c r="I86" s="173" t="s">
        <v>101</v>
      </c>
      <c r="J86" s="7"/>
      <c r="K86" s="47"/>
      <c r="L86" s="47"/>
      <c r="M86" s="18"/>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row>
    <row r="87" spans="1:48" x14ac:dyDescent="0.35">
      <c r="A87" s="166" t="s">
        <v>147</v>
      </c>
      <c r="B87" s="29"/>
      <c r="C87" s="29" t="s">
        <v>305</v>
      </c>
      <c r="D87" s="28" t="s">
        <v>37</v>
      </c>
      <c r="E87" s="40">
        <f>HEX2DEC(D87)*C86</f>
        <v>0</v>
      </c>
      <c r="F87" s="40">
        <f>E87</f>
        <v>0</v>
      </c>
      <c r="G87" s="13" t="s">
        <v>233</v>
      </c>
      <c r="H87" s="94">
        <f>F87/1000</f>
        <v>0</v>
      </c>
      <c r="I87" s="66" t="s">
        <v>101</v>
      </c>
      <c r="J87" s="7"/>
      <c r="K87" s="47"/>
      <c r="L87" s="47"/>
      <c r="M87" s="18"/>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row>
    <row r="88" spans="1:48" x14ac:dyDescent="0.35">
      <c r="A88" s="168" t="s">
        <v>147</v>
      </c>
      <c r="B88" s="11"/>
      <c r="C88" s="27"/>
      <c r="D88" s="28" t="s">
        <v>225</v>
      </c>
      <c r="E88" s="40">
        <f>HEX2DEC(D88)*C86</f>
        <v>1</v>
      </c>
      <c r="F88" s="40">
        <f>E88</f>
        <v>1</v>
      </c>
      <c r="G88" s="13" t="s">
        <v>233</v>
      </c>
      <c r="H88" s="94">
        <f>F88/1000</f>
        <v>1E-3</v>
      </c>
      <c r="I88" s="66" t="s">
        <v>101</v>
      </c>
      <c r="J88" s="7"/>
      <c r="K88" s="47"/>
      <c r="L88" s="47"/>
      <c r="M88" s="18"/>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row>
    <row r="89" spans="1:48" x14ac:dyDescent="0.35">
      <c r="A89" s="168" t="s">
        <v>147</v>
      </c>
      <c r="B89" s="11"/>
      <c r="C89" s="12" t="s">
        <v>102</v>
      </c>
      <c r="D89" s="28" t="s">
        <v>73</v>
      </c>
      <c r="E89" s="40">
        <f>HEX2DEC(D89)*C86</f>
        <v>32768</v>
      </c>
      <c r="F89" s="40">
        <f>E89</f>
        <v>32768</v>
      </c>
      <c r="G89" s="13" t="s">
        <v>233</v>
      </c>
      <c r="H89" s="94">
        <f>F89/1000</f>
        <v>32.768000000000001</v>
      </c>
      <c r="I89" s="66" t="s">
        <v>101</v>
      </c>
      <c r="J89" s="7"/>
      <c r="K89" s="47"/>
      <c r="L89" s="47"/>
      <c r="M89" s="18"/>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row>
    <row r="90" spans="1:48" ht="13.15" thickBot="1" x14ac:dyDescent="0.4">
      <c r="A90" s="165" t="s">
        <v>147</v>
      </c>
      <c r="B90" s="21"/>
      <c r="C90" s="14" t="s">
        <v>103</v>
      </c>
      <c r="D90" s="67" t="s">
        <v>38</v>
      </c>
      <c r="E90" s="68">
        <f>HEX2DEC(D90)*C86</f>
        <v>65535</v>
      </c>
      <c r="F90" s="68">
        <f>E90</f>
        <v>65535</v>
      </c>
      <c r="G90" s="15" t="s">
        <v>233</v>
      </c>
      <c r="H90" s="102">
        <f>F90/1000</f>
        <v>65.534999999999997</v>
      </c>
      <c r="I90" s="93" t="s">
        <v>101</v>
      </c>
      <c r="J90" s="7"/>
      <c r="K90" s="47"/>
      <c r="L90" s="47"/>
      <c r="M90" s="18"/>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row>
    <row r="91" spans="1:48" x14ac:dyDescent="0.35">
      <c r="A91" s="70" t="s">
        <v>148</v>
      </c>
      <c r="B91" s="20" t="s">
        <v>98</v>
      </c>
      <c r="C91" s="16" t="s">
        <v>176</v>
      </c>
      <c r="D91" s="10" t="s">
        <v>50</v>
      </c>
      <c r="E91" s="71"/>
      <c r="F91" s="86" t="s">
        <v>39</v>
      </c>
      <c r="G91" s="172" t="s">
        <v>101</v>
      </c>
      <c r="H91" s="86"/>
      <c r="I91" s="51"/>
      <c r="J91" s="7"/>
      <c r="K91" s="47"/>
      <c r="L91" s="47"/>
      <c r="M91" s="18"/>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row>
    <row r="92" spans="1:48" x14ac:dyDescent="0.35">
      <c r="A92" s="166" t="s">
        <v>148</v>
      </c>
      <c r="B92" s="29"/>
      <c r="C92" s="29" t="s">
        <v>306</v>
      </c>
      <c r="D92" s="28" t="s">
        <v>37</v>
      </c>
      <c r="E92" s="40">
        <f>HEX2DEC(D92)*C91</f>
        <v>0</v>
      </c>
      <c r="F92" s="40">
        <f>E92</f>
        <v>0</v>
      </c>
      <c r="G92" s="13" t="s">
        <v>101</v>
      </c>
      <c r="H92" s="94"/>
      <c r="I92" s="66"/>
      <c r="J92" s="7"/>
      <c r="K92" s="47"/>
      <c r="L92" s="47"/>
      <c r="M92" s="18"/>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row>
    <row r="93" spans="1:48" x14ac:dyDescent="0.35">
      <c r="A93" s="168" t="s">
        <v>148</v>
      </c>
      <c r="B93" s="11"/>
      <c r="C93" s="27"/>
      <c r="D93" s="28" t="s">
        <v>225</v>
      </c>
      <c r="E93" s="40">
        <f>HEX2DEC(D93)*C91</f>
        <v>1</v>
      </c>
      <c r="F93" s="40">
        <f>E93</f>
        <v>1</v>
      </c>
      <c r="G93" s="13" t="s">
        <v>101</v>
      </c>
      <c r="H93" s="94"/>
      <c r="I93" s="66"/>
      <c r="J93" s="7"/>
      <c r="K93" s="47"/>
      <c r="L93" s="47"/>
      <c r="M93" s="18"/>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row>
    <row r="94" spans="1:48" x14ac:dyDescent="0.35">
      <c r="A94" s="167" t="s">
        <v>148</v>
      </c>
      <c r="B94" s="23"/>
      <c r="C94" s="26"/>
      <c r="D94" s="13" t="s">
        <v>73</v>
      </c>
      <c r="E94" s="40">
        <f>HEX2DEC(D94)*C91</f>
        <v>32768</v>
      </c>
      <c r="F94" s="40">
        <f>E94</f>
        <v>32768</v>
      </c>
      <c r="G94" s="13" t="s">
        <v>101</v>
      </c>
      <c r="H94" s="94"/>
      <c r="I94" s="66"/>
      <c r="J94" s="7"/>
      <c r="K94" s="47"/>
      <c r="L94" s="47"/>
      <c r="M94" s="18"/>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row>
    <row r="95" spans="1:48" ht="13.15" thickBot="1" x14ac:dyDescent="0.4">
      <c r="A95" s="165" t="s">
        <v>148</v>
      </c>
      <c r="B95" s="21"/>
      <c r="C95" s="14"/>
      <c r="D95" s="67" t="s">
        <v>38</v>
      </c>
      <c r="E95" s="103">
        <f>HEX2DEC(D95)*C91</f>
        <v>65535</v>
      </c>
      <c r="F95" s="103">
        <f>E95</f>
        <v>65535</v>
      </c>
      <c r="G95" s="67" t="s">
        <v>101</v>
      </c>
      <c r="H95" s="104"/>
      <c r="I95" s="50"/>
      <c r="J95" s="105"/>
      <c r="K95" s="106"/>
      <c r="L95" s="106"/>
      <c r="M95" s="107"/>
      <c r="N95" s="105"/>
      <c r="O95" s="105"/>
      <c r="P95" s="105"/>
      <c r="Q95" s="105"/>
      <c r="R95" s="105"/>
      <c r="S95" s="105"/>
      <c r="T95" s="105"/>
      <c r="U95" s="105"/>
      <c r="V95" s="105"/>
      <c r="W95" s="105"/>
      <c r="X95" s="105"/>
      <c r="Y95" s="105"/>
      <c r="Z95" s="105"/>
      <c r="AA95" s="7"/>
      <c r="AB95" s="7"/>
      <c r="AC95" s="7"/>
      <c r="AD95" s="7"/>
      <c r="AE95" s="7"/>
      <c r="AF95" s="7"/>
      <c r="AG95" s="7"/>
      <c r="AH95" s="7"/>
      <c r="AI95" s="7"/>
      <c r="AJ95" s="7"/>
      <c r="AK95" s="7"/>
      <c r="AL95" s="7"/>
      <c r="AM95" s="7"/>
      <c r="AN95" s="7"/>
      <c r="AO95" s="7"/>
      <c r="AP95" s="7"/>
      <c r="AQ95" s="7"/>
      <c r="AR95" s="7"/>
      <c r="AS95" s="7"/>
      <c r="AT95" s="7"/>
      <c r="AU95" s="7"/>
      <c r="AV95" s="7"/>
    </row>
    <row r="96" spans="1:48" x14ac:dyDescent="0.35">
      <c r="A96" s="70" t="s">
        <v>149</v>
      </c>
      <c r="B96" s="20" t="s">
        <v>104</v>
      </c>
      <c r="C96" s="181" t="s">
        <v>566</v>
      </c>
      <c r="D96" s="10" t="s">
        <v>50</v>
      </c>
      <c r="E96" s="31"/>
      <c r="F96" s="46" t="s">
        <v>40</v>
      </c>
      <c r="G96" s="10"/>
      <c r="H96" s="46"/>
      <c r="I96" s="108"/>
      <c r="J96" s="109"/>
      <c r="K96" s="110"/>
      <c r="L96" s="110"/>
      <c r="M96" s="111"/>
      <c r="N96" s="109"/>
      <c r="O96" s="109"/>
      <c r="P96" s="109"/>
      <c r="Q96" s="109"/>
      <c r="R96" s="109"/>
      <c r="S96" s="109"/>
      <c r="T96" s="109"/>
      <c r="U96" s="109"/>
      <c r="V96" s="109"/>
      <c r="W96" s="109"/>
      <c r="X96" s="109"/>
      <c r="Y96" s="109"/>
      <c r="Z96" s="109"/>
      <c r="AA96" s="7"/>
      <c r="AB96" s="7"/>
      <c r="AC96" s="7"/>
      <c r="AD96" s="7"/>
      <c r="AE96" s="7"/>
      <c r="AF96" s="7"/>
      <c r="AG96" s="7"/>
      <c r="AH96" s="7"/>
      <c r="AI96" s="7"/>
      <c r="AJ96" s="7"/>
      <c r="AK96" s="7"/>
      <c r="AL96" s="7"/>
      <c r="AM96" s="7"/>
      <c r="AN96" s="7"/>
      <c r="AO96" s="7"/>
      <c r="AP96" s="7"/>
      <c r="AQ96" s="7"/>
      <c r="AR96" s="7"/>
      <c r="AS96" s="7"/>
      <c r="AT96" s="7"/>
      <c r="AU96" s="7"/>
      <c r="AV96" s="7"/>
    </row>
    <row r="97" spans="1:48" x14ac:dyDescent="0.35">
      <c r="A97" s="166" t="s">
        <v>149</v>
      </c>
      <c r="B97" s="29"/>
      <c r="C97" s="263" t="s">
        <v>477</v>
      </c>
      <c r="D97" s="28" t="s">
        <v>37</v>
      </c>
      <c r="E97" s="73">
        <f>HEX2DEC(D97)*C96-40</f>
        <v>-40</v>
      </c>
      <c r="F97" s="73">
        <f>E97</f>
        <v>-40</v>
      </c>
      <c r="G97" s="112" t="s">
        <v>105</v>
      </c>
      <c r="H97" s="74">
        <f>F97*1.8+32</f>
        <v>-40</v>
      </c>
      <c r="I97" s="113" t="s">
        <v>106</v>
      </c>
      <c r="J97" s="7"/>
      <c r="K97" s="47"/>
      <c r="L97" s="47"/>
      <c r="M97" s="18"/>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row>
    <row r="98" spans="1:48" x14ac:dyDescent="0.35">
      <c r="A98" s="168" t="s">
        <v>149</v>
      </c>
      <c r="B98" s="11"/>
      <c r="C98" s="27"/>
      <c r="D98" s="28" t="s">
        <v>225</v>
      </c>
      <c r="E98" s="73">
        <f>HEX2DEC(D98)*C96-40</f>
        <v>-39.9</v>
      </c>
      <c r="F98" s="73">
        <f>E98</f>
        <v>-39.9</v>
      </c>
      <c r="G98" s="112" t="s">
        <v>105</v>
      </c>
      <c r="H98" s="74">
        <f>F98*1.8+32</f>
        <v>-39.819999999999993</v>
      </c>
      <c r="I98" s="113" t="s">
        <v>106</v>
      </c>
      <c r="J98" s="7"/>
      <c r="K98" s="47"/>
      <c r="L98" s="47"/>
      <c r="M98" s="18"/>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row>
    <row r="99" spans="1:48" x14ac:dyDescent="0.35">
      <c r="A99" s="168" t="s">
        <v>149</v>
      </c>
      <c r="B99" s="11"/>
      <c r="C99" s="27"/>
      <c r="D99" s="28" t="s">
        <v>107</v>
      </c>
      <c r="E99" s="73">
        <f>HEX2DEC(D99)*C96-40</f>
        <v>-18</v>
      </c>
      <c r="F99" s="73">
        <f>E99</f>
        <v>-18</v>
      </c>
      <c r="G99" s="112" t="s">
        <v>105</v>
      </c>
      <c r="H99" s="74">
        <f>F99*1.8+32</f>
        <v>-0.39999999999999858</v>
      </c>
      <c r="I99" s="113" t="s">
        <v>106</v>
      </c>
      <c r="J99" s="7"/>
      <c r="K99" s="47"/>
      <c r="L99" s="47"/>
      <c r="M99" s="18"/>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row>
    <row r="100" spans="1:48" x14ac:dyDescent="0.35">
      <c r="A100" s="168" t="s">
        <v>149</v>
      </c>
      <c r="B100" s="11"/>
      <c r="C100" s="12" t="s">
        <v>108</v>
      </c>
      <c r="D100" s="28" t="s">
        <v>109</v>
      </c>
      <c r="E100" s="73">
        <f>HEX2DEC(D100)*C96-40</f>
        <v>0</v>
      </c>
      <c r="F100" s="73">
        <f>E100</f>
        <v>0</v>
      </c>
      <c r="G100" s="112" t="s">
        <v>105</v>
      </c>
      <c r="H100" s="74">
        <f>F100*1.8+32</f>
        <v>32</v>
      </c>
      <c r="I100" s="113" t="s">
        <v>106</v>
      </c>
      <c r="J100" s="7"/>
      <c r="K100" s="47"/>
      <c r="L100" s="47"/>
      <c r="M100" s="18"/>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row>
    <row r="101" spans="1:48" ht="13.15" thickBot="1" x14ac:dyDescent="0.4">
      <c r="A101" s="165" t="s">
        <v>149</v>
      </c>
      <c r="B101" s="21"/>
      <c r="C101" s="114" t="s">
        <v>110</v>
      </c>
      <c r="D101" s="67" t="s">
        <v>38</v>
      </c>
      <c r="E101" s="75">
        <f>HEX2DEC(D101)*C96-40</f>
        <v>6513.5</v>
      </c>
      <c r="F101" s="75">
        <f>E101</f>
        <v>6513.5</v>
      </c>
      <c r="G101" s="115" t="s">
        <v>105</v>
      </c>
      <c r="H101" s="116">
        <f>F101*1.8+32</f>
        <v>11756.300000000001</v>
      </c>
      <c r="I101" s="117" t="s">
        <v>106</v>
      </c>
      <c r="J101" s="105"/>
      <c r="K101" s="106"/>
      <c r="L101" s="106"/>
      <c r="M101" s="107"/>
      <c r="N101" s="105"/>
      <c r="O101" s="105"/>
      <c r="P101" s="105"/>
      <c r="Q101" s="105"/>
      <c r="R101" s="105"/>
      <c r="S101" s="105"/>
      <c r="T101" s="105"/>
      <c r="U101" s="105"/>
      <c r="V101" s="105"/>
      <c r="W101" s="105"/>
      <c r="X101" s="105"/>
      <c r="Y101" s="105"/>
      <c r="Z101" s="105"/>
      <c r="AA101" s="7"/>
      <c r="AB101" s="7"/>
      <c r="AC101" s="7"/>
      <c r="AD101" s="7"/>
      <c r="AE101" s="7"/>
      <c r="AF101" s="7"/>
      <c r="AG101" s="7"/>
      <c r="AH101" s="7"/>
      <c r="AI101" s="7"/>
      <c r="AJ101" s="7"/>
      <c r="AK101" s="7"/>
      <c r="AL101" s="7"/>
      <c r="AM101" s="7"/>
      <c r="AN101" s="7"/>
      <c r="AO101" s="7"/>
      <c r="AP101" s="7"/>
      <c r="AQ101" s="7"/>
      <c r="AR101" s="7"/>
      <c r="AS101" s="7"/>
      <c r="AT101" s="7"/>
      <c r="AU101" s="7"/>
      <c r="AV101" s="7"/>
    </row>
    <row r="102" spans="1:48" x14ac:dyDescent="0.35">
      <c r="A102" s="70" t="s">
        <v>150</v>
      </c>
      <c r="B102" s="16" t="s">
        <v>111</v>
      </c>
      <c r="C102" s="16" t="s">
        <v>52</v>
      </c>
      <c r="D102" s="10" t="s">
        <v>50</v>
      </c>
      <c r="E102" s="71"/>
      <c r="F102" s="86" t="s">
        <v>41</v>
      </c>
      <c r="G102" s="9"/>
      <c r="H102" s="86" t="s">
        <v>112</v>
      </c>
      <c r="I102" s="51"/>
      <c r="J102" s="109"/>
      <c r="K102" s="110"/>
      <c r="L102" s="110"/>
      <c r="M102" s="111"/>
      <c r="N102" s="109"/>
      <c r="O102" s="109"/>
      <c r="P102" s="109"/>
      <c r="Q102" s="109"/>
      <c r="R102" s="109"/>
      <c r="S102" s="109"/>
      <c r="T102" s="109"/>
      <c r="U102" s="109"/>
      <c r="V102" s="109"/>
      <c r="W102" s="109"/>
      <c r="X102" s="109"/>
      <c r="Y102" s="109"/>
      <c r="Z102" s="109"/>
      <c r="AA102" s="7"/>
      <c r="AB102" s="7"/>
      <c r="AC102" s="7"/>
      <c r="AD102" s="7"/>
      <c r="AE102" s="7"/>
      <c r="AF102" s="7"/>
      <c r="AG102" s="7"/>
      <c r="AH102" s="7"/>
      <c r="AI102" s="7"/>
      <c r="AJ102" s="7"/>
      <c r="AK102" s="7"/>
      <c r="AL102" s="7"/>
      <c r="AM102" s="7"/>
      <c r="AN102" s="7"/>
      <c r="AO102" s="7"/>
      <c r="AP102" s="7"/>
      <c r="AQ102" s="7"/>
      <c r="AR102" s="7"/>
      <c r="AS102" s="7"/>
      <c r="AT102" s="7"/>
      <c r="AU102" s="7"/>
      <c r="AV102" s="7"/>
    </row>
    <row r="103" spans="1:48" x14ac:dyDescent="0.35">
      <c r="A103" s="166" t="s">
        <v>150</v>
      </c>
      <c r="B103" s="27"/>
      <c r="C103" s="27" t="s">
        <v>307</v>
      </c>
      <c r="D103" s="28" t="s">
        <v>37</v>
      </c>
      <c r="E103" s="41">
        <f>HEX2DEC(D103)*C102</f>
        <v>0</v>
      </c>
      <c r="F103" s="41">
        <f t="shared" ref="F103:F136" si="1">E103</f>
        <v>0</v>
      </c>
      <c r="G103" s="13" t="s">
        <v>113</v>
      </c>
      <c r="H103" s="74">
        <f>F103*(0.1450377)</f>
        <v>0</v>
      </c>
      <c r="I103" s="66" t="s">
        <v>234</v>
      </c>
      <c r="J103" s="7"/>
      <c r="K103" s="47"/>
      <c r="L103" s="47"/>
      <c r="M103" s="18"/>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row>
    <row r="104" spans="1:48" x14ac:dyDescent="0.35">
      <c r="A104" s="168" t="s">
        <v>150</v>
      </c>
      <c r="B104" s="11"/>
      <c r="C104" s="12"/>
      <c r="D104" s="28" t="s">
        <v>225</v>
      </c>
      <c r="E104" s="41">
        <f>HEX2DEC(D104)*C102</f>
        <v>0.01</v>
      </c>
      <c r="F104" s="37">
        <f t="shared" si="1"/>
        <v>0.01</v>
      </c>
      <c r="G104" s="13" t="s">
        <v>113</v>
      </c>
      <c r="H104" s="74">
        <f>F104*(0.1450377)</f>
        <v>1.4503769999999999E-3</v>
      </c>
      <c r="I104" s="66" t="s">
        <v>234</v>
      </c>
      <c r="J104" s="7"/>
      <c r="K104" s="47"/>
      <c r="L104" s="47"/>
      <c r="M104" s="18"/>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row>
    <row r="105" spans="1:48" x14ac:dyDescent="0.35">
      <c r="A105" s="168" t="s">
        <v>150</v>
      </c>
      <c r="B105" s="12"/>
      <c r="C105" s="12" t="s">
        <v>114</v>
      </c>
      <c r="D105" s="28" t="s">
        <v>73</v>
      </c>
      <c r="E105" s="41">
        <f>HEX2DEC(D105)*C102</f>
        <v>327.68</v>
      </c>
      <c r="F105" s="37">
        <f t="shared" si="1"/>
        <v>327.68</v>
      </c>
      <c r="G105" s="13" t="s">
        <v>113</v>
      </c>
      <c r="H105" s="74">
        <f>F105*(0.1450377)</f>
        <v>47.525953535999996</v>
      </c>
      <c r="I105" s="89" t="s">
        <v>234</v>
      </c>
      <c r="J105" s="7"/>
      <c r="K105" s="47"/>
      <c r="L105" s="47"/>
      <c r="M105" s="18"/>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row>
    <row r="106" spans="1:48" ht="13.15" thickBot="1" x14ac:dyDescent="0.4">
      <c r="A106" s="165" t="s">
        <v>150</v>
      </c>
      <c r="B106" s="14"/>
      <c r="C106" s="42" t="s">
        <v>115</v>
      </c>
      <c r="D106" s="67" t="s">
        <v>38</v>
      </c>
      <c r="E106" s="77">
        <f>HEX2DEC(D106)*C102</f>
        <v>655.35</v>
      </c>
      <c r="F106" s="118">
        <f t="shared" si="1"/>
        <v>655.35</v>
      </c>
      <c r="G106" s="67" t="s">
        <v>113</v>
      </c>
      <c r="H106" s="116">
        <f>F106*(0.1450377)</f>
        <v>95.050456694999994</v>
      </c>
      <c r="I106" s="50" t="s">
        <v>234</v>
      </c>
      <c r="J106" s="7"/>
      <c r="K106" s="47"/>
      <c r="L106" s="47"/>
      <c r="M106" s="18"/>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row>
    <row r="107" spans="1:48" x14ac:dyDescent="0.35">
      <c r="A107" s="70" t="s">
        <v>151</v>
      </c>
      <c r="B107" s="16" t="s">
        <v>116</v>
      </c>
      <c r="C107" s="16" t="s">
        <v>117</v>
      </c>
      <c r="D107" s="10" t="s">
        <v>50</v>
      </c>
      <c r="E107" s="71"/>
      <c r="F107" s="86" t="s">
        <v>118</v>
      </c>
      <c r="G107" s="9"/>
      <c r="H107" s="86" t="s">
        <v>119</v>
      </c>
      <c r="I107" s="51"/>
      <c r="J107" s="7"/>
      <c r="K107" s="47"/>
      <c r="L107" s="47"/>
      <c r="M107" s="18"/>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row>
    <row r="108" spans="1:48" x14ac:dyDescent="0.35">
      <c r="A108" s="166" t="s">
        <v>151</v>
      </c>
      <c r="B108" s="27"/>
      <c r="C108" s="27" t="s">
        <v>308</v>
      </c>
      <c r="D108" s="28" t="s">
        <v>37</v>
      </c>
      <c r="E108" s="119">
        <f>HEX2DEC(D108)*C107</f>
        <v>0</v>
      </c>
      <c r="F108" s="119">
        <f t="shared" si="1"/>
        <v>0</v>
      </c>
      <c r="G108" s="13" t="s">
        <v>113</v>
      </c>
      <c r="H108" s="74">
        <f>F108*(0.1450377)</f>
        <v>0</v>
      </c>
      <c r="I108" s="66" t="s">
        <v>234</v>
      </c>
      <c r="J108" s="7"/>
      <c r="K108" s="47"/>
      <c r="L108" s="47"/>
      <c r="M108" s="18"/>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row>
    <row r="109" spans="1:48" x14ac:dyDescent="0.35">
      <c r="A109" s="168" t="s">
        <v>151</v>
      </c>
      <c r="B109" s="11"/>
      <c r="C109" s="12"/>
      <c r="D109" s="28" t="s">
        <v>225</v>
      </c>
      <c r="E109" s="119">
        <f>HEX2DEC(D109)*C107</f>
        <v>1.17E-2</v>
      </c>
      <c r="F109" s="120">
        <f t="shared" si="1"/>
        <v>1.17E-2</v>
      </c>
      <c r="G109" s="13" t="s">
        <v>113</v>
      </c>
      <c r="H109" s="74">
        <f>F109*(0.1450377)</f>
        <v>1.6969410899999998E-3</v>
      </c>
      <c r="I109" s="66" t="s">
        <v>234</v>
      </c>
      <c r="J109" s="7"/>
      <c r="K109" s="47"/>
      <c r="L109" s="47"/>
      <c r="M109" s="18"/>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row>
    <row r="110" spans="1:48" x14ac:dyDescent="0.35">
      <c r="A110" s="168" t="s">
        <v>151</v>
      </c>
      <c r="B110" s="12"/>
      <c r="C110" s="12" t="s">
        <v>114</v>
      </c>
      <c r="D110" s="28" t="s">
        <v>73</v>
      </c>
      <c r="E110" s="119">
        <f>HEX2DEC(D110)*C107</f>
        <v>383.38560000000001</v>
      </c>
      <c r="F110" s="120">
        <f t="shared" si="1"/>
        <v>383.38560000000001</v>
      </c>
      <c r="G110" s="13" t="s">
        <v>113</v>
      </c>
      <c r="H110" s="74">
        <f>F110*(0.1450377)</f>
        <v>55.605365637119995</v>
      </c>
      <c r="I110" s="89" t="s">
        <v>234</v>
      </c>
      <c r="J110" s="7"/>
      <c r="K110" s="47"/>
      <c r="L110" s="47"/>
      <c r="M110" s="18"/>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row>
    <row r="111" spans="1:48" ht="13.15" thickBot="1" x14ac:dyDescent="0.4">
      <c r="A111" s="165" t="s">
        <v>151</v>
      </c>
      <c r="B111" s="14"/>
      <c r="C111" s="42" t="s">
        <v>115</v>
      </c>
      <c r="D111" s="67" t="s">
        <v>38</v>
      </c>
      <c r="E111" s="121">
        <f>HEX2DEC(D111)*C107</f>
        <v>766.7595</v>
      </c>
      <c r="F111" s="122">
        <f t="shared" si="1"/>
        <v>766.7595</v>
      </c>
      <c r="G111" s="67" t="s">
        <v>113</v>
      </c>
      <c r="H111" s="116">
        <f>F111*(0.1450377)</f>
        <v>111.20903433315</v>
      </c>
      <c r="I111" s="50" t="s">
        <v>234</v>
      </c>
      <c r="J111" s="7"/>
      <c r="K111" s="47"/>
      <c r="L111" s="47"/>
      <c r="M111" s="18"/>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row>
    <row r="112" spans="1:48" x14ac:dyDescent="0.35">
      <c r="A112" s="70" t="s">
        <v>152</v>
      </c>
      <c r="B112" s="16" t="s">
        <v>120</v>
      </c>
      <c r="C112" s="16" t="s">
        <v>121</v>
      </c>
      <c r="D112" s="10" t="s">
        <v>50</v>
      </c>
      <c r="E112" s="71"/>
      <c r="F112" s="86" t="s">
        <v>65</v>
      </c>
      <c r="G112" s="9"/>
      <c r="H112" s="86" t="s">
        <v>119</v>
      </c>
      <c r="I112" s="51"/>
      <c r="J112" s="7"/>
      <c r="K112" s="47"/>
      <c r="L112" s="47"/>
      <c r="M112" s="18"/>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row>
    <row r="113" spans="1:48" x14ac:dyDescent="0.35">
      <c r="A113" s="166" t="s">
        <v>152</v>
      </c>
      <c r="B113" s="27"/>
      <c r="C113" s="27" t="s">
        <v>309</v>
      </c>
      <c r="D113" s="28" t="s">
        <v>37</v>
      </c>
      <c r="E113" s="39">
        <f>HEX2DEC(D113)*C112</f>
        <v>0</v>
      </c>
      <c r="F113" s="39">
        <f t="shared" si="1"/>
        <v>0</v>
      </c>
      <c r="G113" s="13" t="s">
        <v>113</v>
      </c>
      <c r="H113" s="74">
        <f>F113*(0.1450377)</f>
        <v>0</v>
      </c>
      <c r="I113" s="66" t="s">
        <v>234</v>
      </c>
      <c r="J113" s="7"/>
      <c r="K113" s="47"/>
      <c r="L113" s="47"/>
      <c r="M113" s="18"/>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row>
    <row r="114" spans="1:48" x14ac:dyDescent="0.35">
      <c r="A114" s="168" t="s">
        <v>152</v>
      </c>
      <c r="B114" s="11"/>
      <c r="C114" s="12"/>
      <c r="D114" s="28" t="s">
        <v>225</v>
      </c>
      <c r="E114" s="39">
        <f>HEX2DEC(D114)*C112</f>
        <v>7.9000000000000001E-2</v>
      </c>
      <c r="F114" s="38">
        <f t="shared" si="1"/>
        <v>7.9000000000000001E-2</v>
      </c>
      <c r="G114" s="13" t="s">
        <v>113</v>
      </c>
      <c r="H114" s="74">
        <f>F114*(0.1450377)</f>
        <v>1.1457978299999999E-2</v>
      </c>
      <c r="I114" s="66" t="s">
        <v>234</v>
      </c>
      <c r="J114" s="7"/>
      <c r="K114" s="47"/>
      <c r="L114" s="47"/>
      <c r="M114" s="18"/>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row>
    <row r="115" spans="1:48" x14ac:dyDescent="0.35">
      <c r="A115" s="168" t="s">
        <v>152</v>
      </c>
      <c r="B115" s="12"/>
      <c r="C115" s="12" t="s">
        <v>114</v>
      </c>
      <c r="D115" s="28" t="s">
        <v>73</v>
      </c>
      <c r="E115" s="39">
        <f>HEX2DEC(D115)*C112</f>
        <v>2588.672</v>
      </c>
      <c r="F115" s="38">
        <f t="shared" si="1"/>
        <v>2588.672</v>
      </c>
      <c r="G115" s="13" t="s">
        <v>113</v>
      </c>
      <c r="H115" s="74">
        <f>F115*(0.1450377)</f>
        <v>375.45503293439998</v>
      </c>
      <c r="I115" s="89" t="s">
        <v>234</v>
      </c>
      <c r="J115" s="7"/>
      <c r="K115" s="47"/>
      <c r="L115" s="47"/>
      <c r="M115" s="18"/>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row>
    <row r="116" spans="1:48" ht="13.15" thickBot="1" x14ac:dyDescent="0.4">
      <c r="A116" s="165" t="s">
        <v>152</v>
      </c>
      <c r="B116" s="14"/>
      <c r="C116" s="42" t="s">
        <v>115</v>
      </c>
      <c r="D116" s="67" t="s">
        <v>38</v>
      </c>
      <c r="E116" s="79">
        <f>HEX2DEC(D116)*C112</f>
        <v>5177.2650000000003</v>
      </c>
      <c r="F116" s="80">
        <f t="shared" si="1"/>
        <v>5177.2650000000003</v>
      </c>
      <c r="G116" s="67" t="s">
        <v>113</v>
      </c>
      <c r="H116" s="116">
        <f>F116*(0.1450377)</f>
        <v>750.89860789049999</v>
      </c>
      <c r="I116" s="50" t="s">
        <v>234</v>
      </c>
      <c r="J116" s="7"/>
      <c r="K116" s="47"/>
      <c r="L116" s="47"/>
      <c r="M116" s="18"/>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row>
    <row r="117" spans="1:48" x14ac:dyDescent="0.35">
      <c r="A117" s="70" t="s">
        <v>153</v>
      </c>
      <c r="B117" s="16" t="s">
        <v>111</v>
      </c>
      <c r="C117" s="16" t="s">
        <v>176</v>
      </c>
      <c r="D117" s="10" t="s">
        <v>50</v>
      </c>
      <c r="E117" s="71"/>
      <c r="F117" s="86" t="s">
        <v>229</v>
      </c>
      <c r="G117" s="9"/>
      <c r="H117" s="86" t="s">
        <v>40</v>
      </c>
      <c r="I117" s="51"/>
      <c r="J117" s="7"/>
      <c r="K117" s="47"/>
      <c r="L117" s="47"/>
      <c r="M117" s="18"/>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row>
    <row r="118" spans="1:48" x14ac:dyDescent="0.35">
      <c r="A118" s="166" t="s">
        <v>153</v>
      </c>
      <c r="B118" s="27"/>
      <c r="C118" s="27" t="s">
        <v>310</v>
      </c>
      <c r="D118" s="28" t="s">
        <v>37</v>
      </c>
      <c r="E118" s="40">
        <f>HEX2DEC(D118)*C117</f>
        <v>0</v>
      </c>
      <c r="F118" s="40">
        <f t="shared" si="1"/>
        <v>0</v>
      </c>
      <c r="G118" s="13" t="s">
        <v>113</v>
      </c>
      <c r="H118" s="74">
        <f>F118*(0.1450377)</f>
        <v>0</v>
      </c>
      <c r="I118" s="66" t="s">
        <v>234</v>
      </c>
      <c r="J118" s="7"/>
      <c r="K118" s="47"/>
      <c r="L118" s="47"/>
      <c r="M118" s="18"/>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row>
    <row r="119" spans="1:48" x14ac:dyDescent="0.35">
      <c r="A119" s="168" t="s">
        <v>153</v>
      </c>
      <c r="B119" s="11"/>
      <c r="C119" s="12"/>
      <c r="D119" s="28" t="s">
        <v>225</v>
      </c>
      <c r="E119" s="40">
        <f>HEX2DEC(D119)*C117</f>
        <v>1</v>
      </c>
      <c r="F119" s="35">
        <f t="shared" si="1"/>
        <v>1</v>
      </c>
      <c r="G119" s="13" t="s">
        <v>113</v>
      </c>
      <c r="H119" s="74">
        <f>F119*(0.1450377)</f>
        <v>0.14503769999999999</v>
      </c>
      <c r="I119" s="66" t="s">
        <v>234</v>
      </c>
      <c r="J119" s="7"/>
      <c r="K119" s="47"/>
      <c r="L119" s="47"/>
      <c r="M119" s="18"/>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row>
    <row r="120" spans="1:48" x14ac:dyDescent="0.35">
      <c r="A120" s="168" t="s">
        <v>153</v>
      </c>
      <c r="B120" s="12"/>
      <c r="C120" s="12" t="s">
        <v>114</v>
      </c>
      <c r="D120" s="28" t="s">
        <v>73</v>
      </c>
      <c r="E120" s="40">
        <f>HEX2DEC(D120)*C117</f>
        <v>32768</v>
      </c>
      <c r="F120" s="35">
        <f t="shared" si="1"/>
        <v>32768</v>
      </c>
      <c r="G120" s="13" t="s">
        <v>113</v>
      </c>
      <c r="H120" s="74">
        <f>F120*(0.1450377)</f>
        <v>4752.5953535999997</v>
      </c>
      <c r="I120" s="89" t="s">
        <v>234</v>
      </c>
      <c r="J120" s="7"/>
      <c r="K120" s="47"/>
      <c r="L120" s="47"/>
      <c r="M120" s="18"/>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row>
    <row r="121" spans="1:48" ht="13.15" thickBot="1" x14ac:dyDescent="0.4">
      <c r="A121" s="165" t="s">
        <v>153</v>
      </c>
      <c r="B121" s="14"/>
      <c r="C121" s="42" t="s">
        <v>115</v>
      </c>
      <c r="D121" s="67" t="s">
        <v>38</v>
      </c>
      <c r="E121" s="68">
        <f>HEX2DEC(D121)*C117</f>
        <v>65535</v>
      </c>
      <c r="F121" s="103">
        <f t="shared" si="1"/>
        <v>65535</v>
      </c>
      <c r="G121" s="67" t="s">
        <v>113</v>
      </c>
      <c r="H121" s="116">
        <f>F121*(0.1450377)</f>
        <v>9505.0456694999993</v>
      </c>
      <c r="I121" s="50" t="s">
        <v>234</v>
      </c>
      <c r="J121" s="7"/>
      <c r="K121" s="47"/>
      <c r="L121" s="47"/>
      <c r="M121" s="18"/>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row>
    <row r="122" spans="1:48" x14ac:dyDescent="0.35">
      <c r="A122" s="70" t="s">
        <v>154</v>
      </c>
      <c r="B122" s="16" t="s">
        <v>122</v>
      </c>
      <c r="C122" s="16" t="s">
        <v>173</v>
      </c>
      <c r="D122" s="10" t="s">
        <v>50</v>
      </c>
      <c r="E122" s="71"/>
      <c r="F122" s="86" t="s">
        <v>123</v>
      </c>
      <c r="G122" s="9"/>
      <c r="H122" s="86" t="s">
        <v>124</v>
      </c>
      <c r="I122" s="51"/>
      <c r="J122" s="7"/>
      <c r="K122" s="47"/>
      <c r="L122" s="47"/>
      <c r="M122" s="18"/>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row>
    <row r="123" spans="1:48" x14ac:dyDescent="0.35">
      <c r="A123" s="166" t="s">
        <v>154</v>
      </c>
      <c r="B123" s="27"/>
      <c r="C123" s="27" t="s">
        <v>311</v>
      </c>
      <c r="D123" s="28" t="s">
        <v>37</v>
      </c>
      <c r="E123" s="40">
        <f>HEX2DEC(D123)*C122</f>
        <v>0</v>
      </c>
      <c r="F123" s="40">
        <f t="shared" si="1"/>
        <v>0</v>
      </c>
      <c r="G123" s="13" t="s">
        <v>113</v>
      </c>
      <c r="H123" s="74">
        <f>F123*(0.1450377)</f>
        <v>0</v>
      </c>
      <c r="I123" s="66" t="s">
        <v>234</v>
      </c>
      <c r="J123" s="7"/>
      <c r="K123" s="47"/>
      <c r="L123" s="47"/>
      <c r="M123" s="18"/>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row>
    <row r="124" spans="1:48" x14ac:dyDescent="0.35">
      <c r="A124" s="168" t="s">
        <v>154</v>
      </c>
      <c r="B124" s="11"/>
      <c r="C124" s="12"/>
      <c r="D124" s="28" t="s">
        <v>225</v>
      </c>
      <c r="E124" s="40">
        <f>HEX2DEC(D124)*C122</f>
        <v>10</v>
      </c>
      <c r="F124" s="35">
        <f t="shared" si="1"/>
        <v>10</v>
      </c>
      <c r="G124" s="13" t="s">
        <v>113</v>
      </c>
      <c r="H124" s="74">
        <f>F124*(0.1450377)</f>
        <v>1.450377</v>
      </c>
      <c r="I124" s="66" t="s">
        <v>234</v>
      </c>
      <c r="J124" s="7"/>
      <c r="K124" s="47"/>
      <c r="L124" s="47"/>
      <c r="M124" s="18"/>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row>
    <row r="125" spans="1:48" x14ac:dyDescent="0.35">
      <c r="A125" s="168" t="s">
        <v>154</v>
      </c>
      <c r="B125" s="12"/>
      <c r="C125" s="12" t="s">
        <v>114</v>
      </c>
      <c r="D125" s="28" t="s">
        <v>73</v>
      </c>
      <c r="E125" s="40">
        <f>HEX2DEC(D125)*C122</f>
        <v>327680</v>
      </c>
      <c r="F125" s="35">
        <f t="shared" si="1"/>
        <v>327680</v>
      </c>
      <c r="G125" s="13" t="s">
        <v>113</v>
      </c>
      <c r="H125" s="74">
        <f>F125*(0.1450377)</f>
        <v>47525.953536000001</v>
      </c>
      <c r="I125" s="89" t="s">
        <v>234</v>
      </c>
      <c r="J125" s="7"/>
      <c r="K125" s="47"/>
      <c r="L125" s="47"/>
      <c r="M125" s="18"/>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row>
    <row r="126" spans="1:48" ht="13.15" thickBot="1" x14ac:dyDescent="0.4">
      <c r="A126" s="165" t="s">
        <v>154</v>
      </c>
      <c r="B126" s="14"/>
      <c r="C126" s="42" t="s">
        <v>115</v>
      </c>
      <c r="D126" s="67" t="s">
        <v>38</v>
      </c>
      <c r="E126" s="68">
        <f>HEX2DEC(D126)*C122</f>
        <v>655350</v>
      </c>
      <c r="F126" s="103">
        <f t="shared" si="1"/>
        <v>655350</v>
      </c>
      <c r="G126" s="67" t="s">
        <v>113</v>
      </c>
      <c r="H126" s="116">
        <f>F126*(0.1450377)</f>
        <v>95050.456695000001</v>
      </c>
      <c r="I126" s="50" t="s">
        <v>234</v>
      </c>
      <c r="J126" s="7"/>
      <c r="K126" s="47"/>
      <c r="L126" s="47"/>
      <c r="M126" s="18"/>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row>
    <row r="127" spans="1:48" x14ac:dyDescent="0.35">
      <c r="A127" s="70" t="s">
        <v>155</v>
      </c>
      <c r="B127" s="16" t="s">
        <v>125</v>
      </c>
      <c r="C127" s="16" t="s">
        <v>52</v>
      </c>
      <c r="D127" s="10" t="s">
        <v>50</v>
      </c>
      <c r="E127" s="71"/>
      <c r="F127" s="86" t="s">
        <v>41</v>
      </c>
      <c r="G127" s="9"/>
      <c r="H127" s="86"/>
      <c r="I127" s="51"/>
      <c r="J127" s="7"/>
      <c r="K127" s="47"/>
      <c r="L127" s="47"/>
      <c r="M127" s="18"/>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row>
    <row r="128" spans="1:48" x14ac:dyDescent="0.35">
      <c r="A128" s="166" t="s">
        <v>155</v>
      </c>
      <c r="B128" s="27"/>
      <c r="C128" s="27" t="s">
        <v>312</v>
      </c>
      <c r="D128" s="28" t="s">
        <v>37</v>
      </c>
      <c r="E128" s="40">
        <f>HEX2DEC(D128)*C127</f>
        <v>0</v>
      </c>
      <c r="F128" s="41">
        <f t="shared" si="1"/>
        <v>0</v>
      </c>
      <c r="G128" s="112" t="s">
        <v>177</v>
      </c>
      <c r="H128" s="74"/>
      <c r="I128" s="66"/>
      <c r="J128" s="7"/>
      <c r="K128" s="47"/>
      <c r="L128" s="47"/>
      <c r="M128" s="18"/>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row>
    <row r="129" spans="1:48" x14ac:dyDescent="0.35">
      <c r="A129" s="168" t="s">
        <v>155</v>
      </c>
      <c r="B129" s="11"/>
      <c r="C129" s="12"/>
      <c r="D129" s="28" t="s">
        <v>225</v>
      </c>
      <c r="E129" s="41">
        <f>HEX2DEC(D129)*C127</f>
        <v>0.01</v>
      </c>
      <c r="F129" s="37">
        <f t="shared" si="1"/>
        <v>0.01</v>
      </c>
      <c r="G129" s="112" t="s">
        <v>177</v>
      </c>
      <c r="H129" s="74"/>
      <c r="I129" s="66"/>
      <c r="J129" s="7"/>
      <c r="K129" s="47"/>
      <c r="L129" s="47"/>
      <c r="M129" s="18"/>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row>
    <row r="130" spans="1:48" x14ac:dyDescent="0.35">
      <c r="A130" s="168" t="s">
        <v>155</v>
      </c>
      <c r="B130" s="12"/>
      <c r="C130" s="12"/>
      <c r="D130" s="28" t="s">
        <v>178</v>
      </c>
      <c r="E130" s="40">
        <f>HEX2DEC(D130)*C127</f>
        <v>360</v>
      </c>
      <c r="F130" s="37">
        <f t="shared" si="1"/>
        <v>360</v>
      </c>
      <c r="G130" s="112" t="s">
        <v>177</v>
      </c>
      <c r="H130" s="74"/>
      <c r="I130" s="89"/>
      <c r="J130" s="7"/>
      <c r="K130" s="47"/>
      <c r="L130" s="47"/>
      <c r="M130" s="18"/>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row>
    <row r="131" spans="1:48" ht="13.15" thickBot="1" x14ac:dyDescent="0.4">
      <c r="A131" s="165" t="s">
        <v>155</v>
      </c>
      <c r="B131" s="14"/>
      <c r="C131" s="42"/>
      <c r="D131" s="67" t="s">
        <v>38</v>
      </c>
      <c r="E131" s="77">
        <f>HEX2DEC(D131)*C127</f>
        <v>655.35</v>
      </c>
      <c r="F131" s="118">
        <f t="shared" si="1"/>
        <v>655.35</v>
      </c>
      <c r="G131" s="123" t="s">
        <v>177</v>
      </c>
      <c r="H131" s="116"/>
      <c r="I131" s="50"/>
      <c r="J131" s="7"/>
      <c r="K131" s="47"/>
      <c r="L131" s="47"/>
      <c r="M131" s="18"/>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row>
    <row r="132" spans="1:48" x14ac:dyDescent="0.35">
      <c r="A132" s="70" t="s">
        <v>156</v>
      </c>
      <c r="B132" s="16" t="s">
        <v>125</v>
      </c>
      <c r="C132" s="16" t="s">
        <v>179</v>
      </c>
      <c r="D132" s="10" t="s">
        <v>50</v>
      </c>
      <c r="E132" s="71"/>
      <c r="F132" s="86" t="s">
        <v>180</v>
      </c>
      <c r="G132" s="9"/>
      <c r="H132" s="86"/>
      <c r="I132" s="51"/>
      <c r="J132" s="7"/>
      <c r="K132" s="47"/>
      <c r="L132" s="47"/>
      <c r="M132" s="18"/>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row>
    <row r="133" spans="1:48" x14ac:dyDescent="0.35">
      <c r="A133" s="166" t="s">
        <v>156</v>
      </c>
      <c r="B133" s="27"/>
      <c r="C133" s="27" t="s">
        <v>313</v>
      </c>
      <c r="D133" s="28" t="s">
        <v>37</v>
      </c>
      <c r="E133" s="40">
        <f>HEX2DEC(D133)*C132</f>
        <v>0</v>
      </c>
      <c r="F133" s="73">
        <f t="shared" si="1"/>
        <v>0</v>
      </c>
      <c r="G133" s="112" t="s">
        <v>177</v>
      </c>
      <c r="H133" s="74"/>
      <c r="I133" s="66"/>
      <c r="J133" s="7"/>
      <c r="K133" s="47"/>
      <c r="L133" s="47"/>
      <c r="M133" s="18"/>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row>
    <row r="134" spans="1:48" x14ac:dyDescent="0.35">
      <c r="A134" s="168" t="s">
        <v>156</v>
      </c>
      <c r="B134" s="11"/>
      <c r="C134" s="12"/>
      <c r="D134" s="28" t="s">
        <v>225</v>
      </c>
      <c r="E134" s="73">
        <f>HEX2DEC(D134)*C132</f>
        <v>0.5</v>
      </c>
      <c r="F134" s="36">
        <f t="shared" si="1"/>
        <v>0.5</v>
      </c>
      <c r="G134" s="112" t="s">
        <v>177</v>
      </c>
      <c r="H134" s="74"/>
      <c r="I134" s="66"/>
      <c r="J134" s="7"/>
      <c r="K134" s="47"/>
      <c r="L134" s="47"/>
      <c r="M134" s="18"/>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row>
    <row r="135" spans="1:48" x14ac:dyDescent="0.35">
      <c r="A135" s="168" t="s">
        <v>156</v>
      </c>
      <c r="B135" s="12"/>
      <c r="C135" s="12"/>
      <c r="D135" s="28" t="s">
        <v>178</v>
      </c>
      <c r="E135" s="40">
        <f>HEX2DEC(D135)*C132</f>
        <v>18000</v>
      </c>
      <c r="F135" s="36">
        <f t="shared" si="1"/>
        <v>18000</v>
      </c>
      <c r="G135" s="112" t="s">
        <v>177</v>
      </c>
      <c r="H135" s="74"/>
      <c r="I135" s="89"/>
      <c r="J135" s="7"/>
      <c r="K135" s="47"/>
      <c r="L135" s="47"/>
      <c r="M135" s="18"/>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row>
    <row r="136" spans="1:48" ht="13.15" thickBot="1" x14ac:dyDescent="0.4">
      <c r="A136" s="165" t="s">
        <v>156</v>
      </c>
      <c r="B136" s="14"/>
      <c r="C136" s="42"/>
      <c r="D136" s="67" t="s">
        <v>38</v>
      </c>
      <c r="E136" s="75">
        <f>HEX2DEC(D136)*C132</f>
        <v>32767.5</v>
      </c>
      <c r="F136" s="124">
        <f t="shared" si="1"/>
        <v>32767.5</v>
      </c>
      <c r="G136" s="123" t="s">
        <v>177</v>
      </c>
      <c r="H136" s="116"/>
      <c r="I136" s="50"/>
      <c r="J136" s="7"/>
      <c r="K136" s="47"/>
      <c r="L136" s="47"/>
      <c r="M136" s="18"/>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row>
    <row r="137" spans="1:48" x14ac:dyDescent="0.35">
      <c r="A137" s="70" t="s">
        <v>157</v>
      </c>
      <c r="B137" s="16" t="s">
        <v>181</v>
      </c>
      <c r="C137" s="16" t="s">
        <v>54</v>
      </c>
      <c r="D137" s="10" t="s">
        <v>50</v>
      </c>
      <c r="E137" s="71"/>
      <c r="F137" s="10" t="s">
        <v>55</v>
      </c>
      <c r="G137" s="10"/>
      <c r="H137" s="65"/>
      <c r="I137" s="51"/>
      <c r="J137" s="7"/>
      <c r="K137" s="47"/>
      <c r="L137" s="47"/>
      <c r="M137" s="18"/>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row>
    <row r="138" spans="1:48" x14ac:dyDescent="0.35">
      <c r="A138" s="166" t="s">
        <v>157</v>
      </c>
      <c r="B138" s="27"/>
      <c r="C138" s="12" t="s">
        <v>292</v>
      </c>
      <c r="D138" s="28" t="s">
        <v>37</v>
      </c>
      <c r="E138" s="40">
        <f>HEX2DEC(D138)*C137</f>
        <v>0</v>
      </c>
      <c r="F138" s="81">
        <f>E138</f>
        <v>0</v>
      </c>
      <c r="G138" s="37" t="s">
        <v>235</v>
      </c>
      <c r="H138" s="41"/>
      <c r="I138" s="66"/>
      <c r="J138" s="7"/>
      <c r="K138" s="47"/>
      <c r="L138" s="47"/>
      <c r="M138" s="18"/>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row>
    <row r="139" spans="1:48" x14ac:dyDescent="0.35">
      <c r="A139" s="164" t="s">
        <v>157</v>
      </c>
      <c r="B139" s="25"/>
      <c r="C139" s="26" t="s">
        <v>182</v>
      </c>
      <c r="D139" s="28" t="s">
        <v>225</v>
      </c>
      <c r="E139" s="40">
        <f>HEX2DEC(D139)*C137</f>
        <v>3.0517578E-5</v>
      </c>
      <c r="F139" s="81">
        <f>E139</f>
        <v>3.0517578E-5</v>
      </c>
      <c r="G139" s="37" t="s">
        <v>235</v>
      </c>
      <c r="H139" s="74"/>
      <c r="I139" s="66"/>
      <c r="J139" s="7"/>
      <c r="K139" s="47"/>
      <c r="L139" s="47"/>
      <c r="M139" s="18"/>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row>
    <row r="140" spans="1:48" x14ac:dyDescent="0.35">
      <c r="A140" s="164" t="s">
        <v>157</v>
      </c>
      <c r="B140" s="25"/>
      <c r="C140" s="26" t="s">
        <v>183</v>
      </c>
      <c r="D140" s="28" t="s">
        <v>184</v>
      </c>
      <c r="E140" s="40">
        <f>HEX2DEC(D140)*C137</f>
        <v>1.000579829886</v>
      </c>
      <c r="F140" s="81">
        <f>E140</f>
        <v>1.000579829886</v>
      </c>
      <c r="G140" s="37" t="s">
        <v>235</v>
      </c>
      <c r="H140" s="74"/>
      <c r="I140" s="89"/>
      <c r="J140" s="7"/>
      <c r="K140" s="47"/>
      <c r="L140" s="47"/>
      <c r="M140" s="18"/>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row>
    <row r="141" spans="1:48" ht="13.15" thickBot="1" x14ac:dyDescent="0.4">
      <c r="A141" s="165" t="s">
        <v>157</v>
      </c>
      <c r="B141" s="14"/>
      <c r="C141" s="14" t="s">
        <v>185</v>
      </c>
      <c r="D141" s="67" t="s">
        <v>38</v>
      </c>
      <c r="E141" s="32">
        <f>HEX2DEC(D141)*C137</f>
        <v>1.99996947423</v>
      </c>
      <c r="F141" s="125">
        <f>E141</f>
        <v>1.99996947423</v>
      </c>
      <c r="G141" s="77" t="s">
        <v>235</v>
      </c>
      <c r="H141" s="78"/>
      <c r="I141" s="50"/>
      <c r="J141" s="7"/>
      <c r="K141" s="47"/>
      <c r="L141" s="47"/>
      <c r="M141" s="18"/>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row>
    <row r="142" spans="1:48" x14ac:dyDescent="0.35">
      <c r="A142" s="70" t="s">
        <v>158</v>
      </c>
      <c r="B142" s="16" t="s">
        <v>186</v>
      </c>
      <c r="C142" s="16" t="s">
        <v>187</v>
      </c>
      <c r="D142" s="10" t="s">
        <v>50</v>
      </c>
      <c r="E142" s="71"/>
      <c r="F142" s="86" t="s">
        <v>188</v>
      </c>
      <c r="G142" s="9"/>
      <c r="H142" s="86"/>
      <c r="I142" s="51"/>
      <c r="J142" s="7"/>
      <c r="K142" s="47"/>
      <c r="L142" s="47"/>
      <c r="M142" s="18"/>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row>
    <row r="143" spans="1:48" x14ac:dyDescent="0.35">
      <c r="A143" s="166" t="s">
        <v>158</v>
      </c>
      <c r="B143" s="27"/>
      <c r="C143" s="27" t="s">
        <v>314</v>
      </c>
      <c r="D143" s="28" t="s">
        <v>37</v>
      </c>
      <c r="E143" s="73">
        <f>HEX2DEC(D143)*C142</f>
        <v>0</v>
      </c>
      <c r="F143" s="41">
        <f>E143</f>
        <v>0</v>
      </c>
      <c r="G143" s="41" t="s">
        <v>236</v>
      </c>
      <c r="H143" s="74"/>
      <c r="I143" s="66"/>
      <c r="AA143" s="7"/>
      <c r="AB143" s="7"/>
      <c r="AC143" s="7"/>
      <c r="AD143" s="7"/>
      <c r="AE143" s="7"/>
      <c r="AF143" s="7"/>
      <c r="AG143" s="7"/>
      <c r="AH143" s="7"/>
      <c r="AI143" s="7"/>
      <c r="AJ143" s="7"/>
      <c r="AK143" s="7"/>
      <c r="AL143" s="7"/>
      <c r="AM143" s="7"/>
      <c r="AN143" s="7"/>
      <c r="AO143" s="7"/>
      <c r="AP143" s="7"/>
      <c r="AQ143" s="7"/>
      <c r="AR143" s="7"/>
      <c r="AS143" s="7"/>
      <c r="AT143" s="7"/>
      <c r="AU143" s="7"/>
      <c r="AV143" s="7"/>
    </row>
    <row r="144" spans="1:48" x14ac:dyDescent="0.35">
      <c r="A144" s="168" t="s">
        <v>158</v>
      </c>
      <c r="B144" s="11"/>
      <c r="C144" s="12"/>
      <c r="D144" s="28" t="s">
        <v>225</v>
      </c>
      <c r="E144" s="41">
        <f>HEX2DEC(D144)*C142</f>
        <v>0.05</v>
      </c>
      <c r="F144" s="37">
        <f>E144</f>
        <v>0.05</v>
      </c>
      <c r="G144" s="41" t="s">
        <v>236</v>
      </c>
      <c r="H144" s="74"/>
      <c r="I144" s="66"/>
      <c r="AA144" s="7"/>
      <c r="AB144" s="7"/>
      <c r="AC144" s="7"/>
      <c r="AD144" s="7"/>
      <c r="AE144" s="7"/>
      <c r="AF144" s="7"/>
      <c r="AG144" s="7"/>
      <c r="AH144" s="7"/>
      <c r="AI144" s="7"/>
      <c r="AJ144" s="7"/>
      <c r="AK144" s="7"/>
      <c r="AL144" s="7"/>
      <c r="AM144" s="7"/>
      <c r="AN144" s="7"/>
      <c r="AO144" s="7"/>
      <c r="AP144" s="7"/>
      <c r="AQ144" s="7"/>
      <c r="AR144" s="7"/>
      <c r="AS144" s="7"/>
      <c r="AT144" s="7"/>
      <c r="AU144" s="7"/>
      <c r="AV144" s="7"/>
    </row>
    <row r="145" spans="1:48" x14ac:dyDescent="0.35">
      <c r="A145" s="168" t="s">
        <v>158</v>
      </c>
      <c r="B145" s="11"/>
      <c r="C145" s="12" t="s">
        <v>189</v>
      </c>
      <c r="D145" s="28" t="s">
        <v>190</v>
      </c>
      <c r="E145" s="73">
        <f>HEX2DEC(D145)*C142</f>
        <v>1</v>
      </c>
      <c r="F145" s="37">
        <f>E145</f>
        <v>1</v>
      </c>
      <c r="G145" s="41" t="s">
        <v>236</v>
      </c>
      <c r="H145" s="74"/>
      <c r="I145" s="89"/>
      <c r="AA145" s="7"/>
      <c r="AB145" s="7"/>
      <c r="AC145" s="7"/>
      <c r="AD145" s="7"/>
      <c r="AE145" s="7"/>
      <c r="AF145" s="7"/>
      <c r="AG145" s="7"/>
      <c r="AH145" s="7"/>
      <c r="AI145" s="7"/>
      <c r="AJ145" s="7"/>
      <c r="AK145" s="7"/>
      <c r="AL145" s="7"/>
      <c r="AM145" s="7"/>
      <c r="AN145" s="7"/>
      <c r="AO145" s="7"/>
      <c r="AP145" s="7"/>
      <c r="AQ145" s="7"/>
      <c r="AR145" s="7"/>
      <c r="AS145" s="7"/>
      <c r="AT145" s="7"/>
      <c r="AU145" s="7"/>
      <c r="AV145" s="7"/>
    </row>
    <row r="146" spans="1:48" x14ac:dyDescent="0.35">
      <c r="A146" s="168" t="s">
        <v>158</v>
      </c>
      <c r="B146" s="12"/>
      <c r="C146" s="12" t="s">
        <v>191</v>
      </c>
      <c r="D146" s="28" t="s">
        <v>192</v>
      </c>
      <c r="E146" s="73">
        <f>HEX2DEC(D146)*C142</f>
        <v>14.700000000000001</v>
      </c>
      <c r="F146" s="37">
        <f>E146</f>
        <v>14.700000000000001</v>
      </c>
      <c r="G146" s="41" t="s">
        <v>236</v>
      </c>
      <c r="H146" s="74"/>
      <c r="I146" s="89"/>
      <c r="AA146" s="7"/>
      <c r="AB146" s="7"/>
      <c r="AC146" s="7"/>
      <c r="AD146" s="7"/>
      <c r="AE146" s="7"/>
      <c r="AF146" s="7"/>
      <c r="AG146" s="7"/>
      <c r="AH146" s="7"/>
      <c r="AI146" s="7"/>
      <c r="AJ146" s="7"/>
      <c r="AK146" s="7"/>
      <c r="AL146" s="7"/>
      <c r="AM146" s="7"/>
      <c r="AN146" s="7"/>
      <c r="AO146" s="7"/>
      <c r="AP146" s="7"/>
      <c r="AQ146" s="7"/>
      <c r="AR146" s="7"/>
      <c r="AS146" s="7"/>
      <c r="AT146" s="7"/>
      <c r="AU146" s="7"/>
      <c r="AV146" s="7"/>
    </row>
    <row r="147" spans="1:48" ht="13.15" thickBot="1" x14ac:dyDescent="0.4">
      <c r="A147" s="165" t="s">
        <v>158</v>
      </c>
      <c r="B147" s="14"/>
      <c r="C147" s="42" t="s">
        <v>193</v>
      </c>
      <c r="D147" s="67" t="s">
        <v>38</v>
      </c>
      <c r="E147" s="77">
        <f>HEX2DEC(D147)*C142</f>
        <v>3276.75</v>
      </c>
      <c r="F147" s="118">
        <f>E147</f>
        <v>3276.75</v>
      </c>
      <c r="G147" s="118" t="s">
        <v>236</v>
      </c>
      <c r="H147" s="116"/>
      <c r="I147" s="50"/>
      <c r="AA147" s="7"/>
      <c r="AB147" s="7"/>
      <c r="AC147" s="7"/>
      <c r="AD147" s="7"/>
      <c r="AE147" s="7"/>
      <c r="AF147" s="7"/>
      <c r="AG147" s="7"/>
      <c r="AH147" s="7"/>
      <c r="AI147" s="7"/>
      <c r="AJ147" s="7"/>
      <c r="AK147" s="7"/>
      <c r="AL147" s="7"/>
      <c r="AM147" s="7"/>
      <c r="AN147" s="7"/>
      <c r="AO147" s="7"/>
      <c r="AP147" s="7"/>
      <c r="AQ147" s="7"/>
      <c r="AR147" s="7"/>
      <c r="AS147" s="7"/>
      <c r="AT147" s="7"/>
      <c r="AU147" s="7"/>
      <c r="AV147" s="7"/>
    </row>
    <row r="148" spans="1:48" x14ac:dyDescent="0.35">
      <c r="A148" s="70" t="s">
        <v>262</v>
      </c>
      <c r="B148" s="20" t="s">
        <v>194</v>
      </c>
      <c r="C148" s="20" t="s">
        <v>71</v>
      </c>
      <c r="D148" s="10" t="s">
        <v>50</v>
      </c>
      <c r="E148" s="71"/>
      <c r="F148" s="86" t="s">
        <v>195</v>
      </c>
      <c r="G148" s="9"/>
      <c r="H148" s="96"/>
      <c r="I148" s="51"/>
      <c r="AA148" s="7"/>
      <c r="AB148" s="7"/>
      <c r="AC148" s="7"/>
      <c r="AD148" s="7"/>
      <c r="AE148" s="7"/>
      <c r="AF148" s="7"/>
      <c r="AG148" s="7"/>
      <c r="AH148" s="7"/>
      <c r="AI148" s="7"/>
      <c r="AJ148" s="7"/>
      <c r="AK148" s="7"/>
      <c r="AL148" s="7"/>
      <c r="AM148" s="7"/>
      <c r="AN148" s="7"/>
      <c r="AO148" s="7"/>
      <c r="AP148" s="7"/>
      <c r="AQ148" s="7"/>
      <c r="AR148" s="7"/>
      <c r="AS148" s="7"/>
      <c r="AT148" s="7"/>
      <c r="AU148" s="7"/>
      <c r="AV148" s="7"/>
    </row>
    <row r="149" spans="1:48" x14ac:dyDescent="0.35">
      <c r="A149" s="166" t="s">
        <v>262</v>
      </c>
      <c r="B149" s="29"/>
      <c r="C149" s="29" t="s">
        <v>315</v>
      </c>
      <c r="D149" s="28" t="s">
        <v>37</v>
      </c>
      <c r="E149" s="40">
        <f>HEX2DEC(D149)*C148</f>
        <v>0</v>
      </c>
      <c r="F149" s="126">
        <f>E149</f>
        <v>0</v>
      </c>
      <c r="G149" s="13"/>
      <c r="H149" s="87"/>
      <c r="I149" s="66"/>
    </row>
    <row r="150" spans="1:48" x14ac:dyDescent="0.35">
      <c r="A150" s="168" t="s">
        <v>262</v>
      </c>
      <c r="B150" s="11"/>
      <c r="C150" s="11"/>
      <c r="D150" s="28" t="s">
        <v>225</v>
      </c>
      <c r="E150" s="39">
        <f>HEX2DEC(D150)*C148</f>
        <v>3.90625E-3</v>
      </c>
      <c r="F150" s="126">
        <f>E150</f>
        <v>3.90625E-3</v>
      </c>
      <c r="G150" s="13"/>
      <c r="H150" s="87"/>
      <c r="I150" s="66"/>
    </row>
    <row r="151" spans="1:48" x14ac:dyDescent="0.35">
      <c r="A151" s="167" t="s">
        <v>262</v>
      </c>
      <c r="B151" s="23"/>
      <c r="C151" s="23"/>
      <c r="D151" s="28" t="s">
        <v>73</v>
      </c>
      <c r="E151" s="40">
        <f>HEX2DEC(D151)*C148</f>
        <v>128</v>
      </c>
      <c r="F151" s="126">
        <f>E151</f>
        <v>128</v>
      </c>
      <c r="G151" s="13"/>
      <c r="H151" s="87"/>
      <c r="I151" s="66"/>
    </row>
    <row r="152" spans="1:48" ht="13.15" thickBot="1" x14ac:dyDescent="0.4">
      <c r="A152" s="165" t="s">
        <v>262</v>
      </c>
      <c r="B152" s="21"/>
      <c r="C152" s="21"/>
      <c r="D152" s="67" t="s">
        <v>38</v>
      </c>
      <c r="E152" s="79">
        <f>HEX2DEC(D152)*C148</f>
        <v>255.99609375</v>
      </c>
      <c r="F152" s="127">
        <f>E152</f>
        <v>255.99609375</v>
      </c>
      <c r="G152" s="15"/>
      <c r="H152" s="95"/>
      <c r="I152" s="93"/>
    </row>
    <row r="153" spans="1:48" x14ac:dyDescent="0.35">
      <c r="A153" s="70" t="s">
        <v>266</v>
      </c>
      <c r="B153" s="16" t="s">
        <v>220</v>
      </c>
      <c r="C153" s="16" t="s">
        <v>176</v>
      </c>
      <c r="D153" s="10" t="s">
        <v>50</v>
      </c>
      <c r="E153" s="71"/>
      <c r="F153" s="86" t="s">
        <v>39</v>
      </c>
      <c r="G153" s="9"/>
      <c r="H153" s="86" t="s">
        <v>42</v>
      </c>
      <c r="I153" s="51"/>
    </row>
    <row r="154" spans="1:48" x14ac:dyDescent="0.35">
      <c r="A154" s="166" t="s">
        <v>266</v>
      </c>
      <c r="B154" s="27"/>
      <c r="C154" s="27" t="s">
        <v>316</v>
      </c>
      <c r="D154" s="28" t="s">
        <v>37</v>
      </c>
      <c r="E154" s="40">
        <f>HEX2DEC(D154)*C153</f>
        <v>0</v>
      </c>
      <c r="F154" s="40">
        <f t="shared" ref="F154:F167" si="2">E154</f>
        <v>0</v>
      </c>
      <c r="G154" s="13" t="s">
        <v>237</v>
      </c>
      <c r="H154" s="94">
        <f>F154/1000</f>
        <v>0</v>
      </c>
      <c r="I154" s="66" t="s">
        <v>238</v>
      </c>
    </row>
    <row r="155" spans="1:48" x14ac:dyDescent="0.35">
      <c r="A155" s="168" t="s">
        <v>266</v>
      </c>
      <c r="B155" s="11"/>
      <c r="C155" s="12"/>
      <c r="D155" s="28" t="s">
        <v>225</v>
      </c>
      <c r="E155" s="40">
        <f>HEX2DEC(D155)*C153</f>
        <v>1</v>
      </c>
      <c r="F155" s="35">
        <f t="shared" si="2"/>
        <v>1</v>
      </c>
      <c r="G155" s="13" t="s">
        <v>237</v>
      </c>
      <c r="H155" s="94">
        <f>F155/1000</f>
        <v>1E-3</v>
      </c>
      <c r="I155" s="66" t="s">
        <v>238</v>
      </c>
    </row>
    <row r="156" spans="1:48" x14ac:dyDescent="0.35">
      <c r="A156" s="168" t="s">
        <v>266</v>
      </c>
      <c r="B156" s="12"/>
      <c r="C156" s="12" t="s">
        <v>196</v>
      </c>
      <c r="D156" s="28" t="s">
        <v>73</v>
      </c>
      <c r="E156" s="40">
        <f>HEX2DEC(D156)*C153</f>
        <v>32768</v>
      </c>
      <c r="F156" s="35">
        <f t="shared" si="2"/>
        <v>32768</v>
      </c>
      <c r="G156" s="13" t="s">
        <v>237</v>
      </c>
      <c r="H156" s="94">
        <f>F156/1000</f>
        <v>32.768000000000001</v>
      </c>
      <c r="I156" s="89" t="s">
        <v>238</v>
      </c>
    </row>
    <row r="157" spans="1:48" ht="13.15" thickBot="1" x14ac:dyDescent="0.4">
      <c r="A157" s="165" t="s">
        <v>266</v>
      </c>
      <c r="B157" s="14"/>
      <c r="C157" s="42" t="s">
        <v>197</v>
      </c>
      <c r="D157" s="67" t="s">
        <v>38</v>
      </c>
      <c r="E157" s="68">
        <f>HEX2DEC(D157)*C153</f>
        <v>65535</v>
      </c>
      <c r="F157" s="103">
        <f t="shared" si="2"/>
        <v>65535</v>
      </c>
      <c r="G157" s="67" t="s">
        <v>237</v>
      </c>
      <c r="H157" s="102">
        <f>F157/1000</f>
        <v>65.534999999999997</v>
      </c>
      <c r="I157" s="50" t="s">
        <v>238</v>
      </c>
    </row>
    <row r="158" spans="1:48" x14ac:dyDescent="0.35">
      <c r="A158" s="70" t="s">
        <v>267</v>
      </c>
      <c r="B158" s="16" t="s">
        <v>220</v>
      </c>
      <c r="C158" s="16" t="s">
        <v>176</v>
      </c>
      <c r="D158" s="10" t="s">
        <v>50</v>
      </c>
      <c r="E158" s="71"/>
      <c r="F158" s="86" t="s">
        <v>39</v>
      </c>
      <c r="G158" s="9"/>
      <c r="H158" s="86"/>
      <c r="I158" s="51"/>
    </row>
    <row r="159" spans="1:48" x14ac:dyDescent="0.35">
      <c r="A159" s="166" t="s">
        <v>267</v>
      </c>
      <c r="B159" s="27"/>
      <c r="C159" s="27" t="s">
        <v>317</v>
      </c>
      <c r="D159" s="28" t="s">
        <v>37</v>
      </c>
      <c r="E159" s="40">
        <f>HEX2DEC(D159)*C158</f>
        <v>0</v>
      </c>
      <c r="F159" s="40">
        <f t="shared" si="2"/>
        <v>0</v>
      </c>
      <c r="G159" s="13" t="s">
        <v>238</v>
      </c>
      <c r="H159" s="94"/>
      <c r="I159" s="66"/>
    </row>
    <row r="160" spans="1:48" x14ac:dyDescent="0.35">
      <c r="A160" s="168" t="s">
        <v>267</v>
      </c>
      <c r="B160" s="11"/>
      <c r="C160" s="12"/>
      <c r="D160" s="28" t="s">
        <v>225</v>
      </c>
      <c r="E160" s="40">
        <f>HEX2DEC(D160)*C158</f>
        <v>1</v>
      </c>
      <c r="F160" s="35">
        <f t="shared" si="2"/>
        <v>1</v>
      </c>
      <c r="G160" s="13" t="s">
        <v>238</v>
      </c>
      <c r="H160" s="94"/>
      <c r="I160" s="66"/>
    </row>
    <row r="161" spans="1:9" x14ac:dyDescent="0.35">
      <c r="A161" s="168" t="s">
        <v>267</v>
      </c>
      <c r="B161" s="12"/>
      <c r="C161" s="12" t="s">
        <v>196</v>
      </c>
      <c r="D161" s="28" t="s">
        <v>73</v>
      </c>
      <c r="E161" s="40">
        <f>HEX2DEC(D161)*C158</f>
        <v>32768</v>
      </c>
      <c r="F161" s="35">
        <f t="shared" si="2"/>
        <v>32768</v>
      </c>
      <c r="G161" s="13" t="s">
        <v>238</v>
      </c>
      <c r="H161" s="94"/>
      <c r="I161" s="89"/>
    </row>
    <row r="162" spans="1:9" ht="13.15" thickBot="1" x14ac:dyDescent="0.4">
      <c r="A162" s="165" t="s">
        <v>267</v>
      </c>
      <c r="B162" s="14"/>
      <c r="C162" s="42" t="s">
        <v>197</v>
      </c>
      <c r="D162" s="67" t="s">
        <v>38</v>
      </c>
      <c r="E162" s="68">
        <f>HEX2DEC(D162)*C158</f>
        <v>65535</v>
      </c>
      <c r="F162" s="103">
        <f t="shared" si="2"/>
        <v>65535</v>
      </c>
      <c r="G162" s="15" t="s">
        <v>238</v>
      </c>
      <c r="H162" s="102"/>
      <c r="I162" s="50"/>
    </row>
    <row r="163" spans="1:9" x14ac:dyDescent="0.35">
      <c r="A163" s="70" t="s">
        <v>141</v>
      </c>
      <c r="B163" s="16" t="s">
        <v>220</v>
      </c>
      <c r="C163" s="16" t="s">
        <v>176</v>
      </c>
      <c r="D163" s="10" t="s">
        <v>50</v>
      </c>
      <c r="E163" s="71"/>
      <c r="F163" s="86" t="s">
        <v>39</v>
      </c>
      <c r="G163" s="9"/>
      <c r="H163" s="86" t="s">
        <v>42</v>
      </c>
      <c r="I163" s="51"/>
    </row>
    <row r="164" spans="1:9" x14ac:dyDescent="0.35">
      <c r="A164" s="166" t="s">
        <v>141</v>
      </c>
      <c r="B164" s="27"/>
      <c r="C164" s="27" t="s">
        <v>318</v>
      </c>
      <c r="D164" s="28" t="s">
        <v>37</v>
      </c>
      <c r="E164" s="40">
        <f>HEX2DEC(D164)*C163</f>
        <v>0</v>
      </c>
      <c r="F164" s="40">
        <f t="shared" si="2"/>
        <v>0</v>
      </c>
      <c r="G164" s="13" t="s">
        <v>198</v>
      </c>
      <c r="H164" s="94">
        <f>F164/1000</f>
        <v>0</v>
      </c>
      <c r="I164" s="66" t="s">
        <v>237</v>
      </c>
    </row>
    <row r="165" spans="1:9" x14ac:dyDescent="0.35">
      <c r="A165" s="168" t="s">
        <v>141</v>
      </c>
      <c r="B165" s="11"/>
      <c r="C165" s="12"/>
      <c r="D165" s="28" t="s">
        <v>225</v>
      </c>
      <c r="E165" s="40">
        <f>HEX2DEC(D165)*C163</f>
        <v>1</v>
      </c>
      <c r="F165" s="35">
        <f t="shared" si="2"/>
        <v>1</v>
      </c>
      <c r="G165" s="13" t="s">
        <v>198</v>
      </c>
      <c r="H165" s="94">
        <f>F165/1000</f>
        <v>1E-3</v>
      </c>
      <c r="I165" s="66" t="s">
        <v>237</v>
      </c>
    </row>
    <row r="166" spans="1:9" x14ac:dyDescent="0.35">
      <c r="A166" s="168" t="s">
        <v>141</v>
      </c>
      <c r="B166" s="12"/>
      <c r="C166" s="12" t="s">
        <v>196</v>
      </c>
      <c r="D166" s="28" t="s">
        <v>73</v>
      </c>
      <c r="E166" s="40">
        <f>HEX2DEC(D166)*C163</f>
        <v>32768</v>
      </c>
      <c r="F166" s="35">
        <f t="shared" si="2"/>
        <v>32768</v>
      </c>
      <c r="G166" s="13" t="s">
        <v>198</v>
      </c>
      <c r="H166" s="94">
        <f>F166/1000</f>
        <v>32.768000000000001</v>
      </c>
      <c r="I166" s="89" t="s">
        <v>237</v>
      </c>
    </row>
    <row r="167" spans="1:9" ht="13.15" thickBot="1" x14ac:dyDescent="0.4">
      <c r="A167" s="165" t="s">
        <v>141</v>
      </c>
      <c r="B167" s="14"/>
      <c r="C167" s="42" t="s">
        <v>197</v>
      </c>
      <c r="D167" s="67" t="s">
        <v>38</v>
      </c>
      <c r="E167" s="68">
        <f>HEX2DEC(D167)*C163</f>
        <v>65535</v>
      </c>
      <c r="F167" s="103">
        <f t="shared" si="2"/>
        <v>65535</v>
      </c>
      <c r="G167" s="67" t="s">
        <v>198</v>
      </c>
      <c r="H167" s="102">
        <f>F167/1000</f>
        <v>65.534999999999997</v>
      </c>
      <c r="I167" s="50" t="s">
        <v>237</v>
      </c>
    </row>
    <row r="168" spans="1:9" x14ac:dyDescent="0.35">
      <c r="A168" s="64" t="s">
        <v>142</v>
      </c>
      <c r="B168" s="8" t="s">
        <v>199</v>
      </c>
      <c r="C168" s="9" t="s">
        <v>176</v>
      </c>
      <c r="D168" s="10" t="s">
        <v>50</v>
      </c>
      <c r="E168" s="30"/>
      <c r="F168" s="10" t="s">
        <v>39</v>
      </c>
      <c r="G168" s="10"/>
      <c r="H168" s="65"/>
      <c r="I168" s="51"/>
    </row>
    <row r="169" spans="1:9" x14ac:dyDescent="0.35">
      <c r="A169" s="164" t="s">
        <v>142</v>
      </c>
      <c r="B169" s="22"/>
      <c r="C169" s="26" t="s">
        <v>286</v>
      </c>
      <c r="D169" s="28" t="s">
        <v>37</v>
      </c>
      <c r="E169" s="35">
        <f>HEX2DEC(D169)*C168</f>
        <v>0</v>
      </c>
      <c r="F169" s="35">
        <f>E169</f>
        <v>0</v>
      </c>
      <c r="G169" s="35" t="s">
        <v>239</v>
      </c>
      <c r="H169" s="40"/>
      <c r="I169" s="66"/>
    </row>
    <row r="170" spans="1:9" ht="13.15" thickBot="1" x14ac:dyDescent="0.4">
      <c r="A170" s="165" t="s">
        <v>142</v>
      </c>
      <c r="B170" s="14"/>
      <c r="C170" s="14"/>
      <c r="D170" s="67" t="s">
        <v>38</v>
      </c>
      <c r="E170" s="103">
        <f>HEX2DEC(D170)*C168</f>
        <v>65535</v>
      </c>
      <c r="F170" s="103">
        <f>E170</f>
        <v>65535</v>
      </c>
      <c r="G170" s="68" t="s">
        <v>239</v>
      </c>
      <c r="H170" s="69"/>
      <c r="I170" s="50"/>
    </row>
    <row r="171" spans="1:9" x14ac:dyDescent="0.35">
      <c r="A171" s="70" t="s">
        <v>159</v>
      </c>
      <c r="B171" s="16" t="s">
        <v>200</v>
      </c>
      <c r="C171" s="16" t="s">
        <v>176</v>
      </c>
      <c r="D171" s="10" t="s">
        <v>50</v>
      </c>
      <c r="E171" s="71"/>
      <c r="F171" s="86" t="s">
        <v>39</v>
      </c>
      <c r="G171" s="9"/>
      <c r="H171" s="86" t="s">
        <v>39</v>
      </c>
      <c r="I171" s="51"/>
    </row>
    <row r="172" spans="1:9" x14ac:dyDescent="0.35">
      <c r="A172" s="166" t="s">
        <v>159</v>
      </c>
      <c r="B172" s="27"/>
      <c r="C172" s="27" t="s">
        <v>319</v>
      </c>
      <c r="D172" s="28" t="s">
        <v>37</v>
      </c>
      <c r="E172" s="40">
        <f>HEX2DEC(D172)*C171</f>
        <v>0</v>
      </c>
      <c r="F172" s="40">
        <f>E172</f>
        <v>0</v>
      </c>
      <c r="G172" s="13" t="s">
        <v>240</v>
      </c>
      <c r="H172" s="90">
        <f>F172*(0.62137)</f>
        <v>0</v>
      </c>
      <c r="I172" s="66" t="s">
        <v>241</v>
      </c>
    </row>
    <row r="173" spans="1:9" x14ac:dyDescent="0.35">
      <c r="A173" s="168" t="s">
        <v>159</v>
      </c>
      <c r="B173" s="11"/>
      <c r="C173" s="12"/>
      <c r="D173" s="13" t="s">
        <v>225</v>
      </c>
      <c r="E173" s="40">
        <f>HEX2DEC(D173)*C171</f>
        <v>1</v>
      </c>
      <c r="F173" s="40">
        <f>E173</f>
        <v>1</v>
      </c>
      <c r="G173" s="13" t="s">
        <v>240</v>
      </c>
      <c r="H173" s="90">
        <f>F173*(0.62137)</f>
        <v>0.62136999999999998</v>
      </c>
      <c r="I173" s="66" t="s">
        <v>241</v>
      </c>
    </row>
    <row r="174" spans="1:9" x14ac:dyDescent="0.35">
      <c r="A174" s="168" t="s">
        <v>159</v>
      </c>
      <c r="B174" s="12"/>
      <c r="C174" s="12" t="s">
        <v>201</v>
      </c>
      <c r="D174" s="88" t="s">
        <v>73</v>
      </c>
      <c r="E174" s="40">
        <f>HEX2DEC(D174)*C171</f>
        <v>32768</v>
      </c>
      <c r="F174" s="40">
        <f>E174</f>
        <v>32768</v>
      </c>
      <c r="G174" s="13" t="s">
        <v>240</v>
      </c>
      <c r="H174" s="90">
        <f>F174*(0.62137)</f>
        <v>20361.052159999999</v>
      </c>
      <c r="I174" s="89" t="s">
        <v>241</v>
      </c>
    </row>
    <row r="175" spans="1:9" ht="13.15" thickBot="1" x14ac:dyDescent="0.4">
      <c r="A175" s="165" t="s">
        <v>159</v>
      </c>
      <c r="B175" s="14"/>
      <c r="C175" s="42" t="s">
        <v>202</v>
      </c>
      <c r="D175" s="15" t="s">
        <v>38</v>
      </c>
      <c r="E175" s="68">
        <f>HEX2DEC(D175)*C171</f>
        <v>65535</v>
      </c>
      <c r="F175" s="68">
        <f>E175</f>
        <v>65535</v>
      </c>
      <c r="G175" s="67" t="s">
        <v>240</v>
      </c>
      <c r="H175" s="91">
        <f>F175*(0.62137)</f>
        <v>40721.482949999998</v>
      </c>
      <c r="I175" s="50" t="s">
        <v>241</v>
      </c>
    </row>
    <row r="176" spans="1:9" x14ac:dyDescent="0.35">
      <c r="A176" s="70" t="s">
        <v>160</v>
      </c>
      <c r="B176" s="16" t="s">
        <v>271</v>
      </c>
      <c r="C176" s="16" t="s">
        <v>51</v>
      </c>
      <c r="D176" s="10" t="s">
        <v>50</v>
      </c>
      <c r="E176" s="71"/>
      <c r="F176" s="86" t="s">
        <v>40</v>
      </c>
      <c r="G176" s="9"/>
      <c r="H176" s="86" t="s">
        <v>276</v>
      </c>
      <c r="I176" s="51"/>
    </row>
    <row r="177" spans="1:9" x14ac:dyDescent="0.35">
      <c r="A177" s="166" t="s">
        <v>160</v>
      </c>
      <c r="B177" s="27"/>
      <c r="C177" s="27" t="s">
        <v>320</v>
      </c>
      <c r="D177" s="28" t="s">
        <v>37</v>
      </c>
      <c r="E177" s="40">
        <f>HEX2DEC(D177)*C176</f>
        <v>0</v>
      </c>
      <c r="F177" s="40">
        <f>E177</f>
        <v>0</v>
      </c>
      <c r="G177" s="13" t="s">
        <v>274</v>
      </c>
      <c r="H177" s="90">
        <f>F177/1000</f>
        <v>0</v>
      </c>
      <c r="I177" s="66" t="s">
        <v>275</v>
      </c>
    </row>
    <row r="178" spans="1:9" x14ac:dyDescent="0.35">
      <c r="A178" s="168" t="s">
        <v>160</v>
      </c>
      <c r="B178" s="11"/>
      <c r="C178" s="12"/>
      <c r="D178" s="13" t="s">
        <v>225</v>
      </c>
      <c r="E178" s="73">
        <f>HEX2DEC(D178)*C176</f>
        <v>0.1</v>
      </c>
      <c r="F178" s="73">
        <f>E178</f>
        <v>0.1</v>
      </c>
      <c r="G178" s="13" t="s">
        <v>274</v>
      </c>
      <c r="H178" s="128">
        <f>F178/1000</f>
        <v>1E-4</v>
      </c>
      <c r="I178" s="66" t="s">
        <v>275</v>
      </c>
    </row>
    <row r="179" spans="1:9" x14ac:dyDescent="0.35">
      <c r="A179" s="168" t="s">
        <v>160</v>
      </c>
      <c r="B179" s="12"/>
      <c r="C179" s="12" t="s">
        <v>272</v>
      </c>
      <c r="D179" s="88" t="s">
        <v>73</v>
      </c>
      <c r="E179" s="73">
        <f>HEX2DEC(D179)*C176</f>
        <v>3276.8</v>
      </c>
      <c r="F179" s="73">
        <f>E179</f>
        <v>3276.8</v>
      </c>
      <c r="G179" s="13" t="s">
        <v>274</v>
      </c>
      <c r="H179" s="128">
        <f>F179/1000</f>
        <v>3.2768000000000002</v>
      </c>
      <c r="I179" s="89" t="s">
        <v>275</v>
      </c>
    </row>
    <row r="180" spans="1:9" ht="13.15" thickBot="1" x14ac:dyDescent="0.4">
      <c r="A180" s="165" t="s">
        <v>160</v>
      </c>
      <c r="B180" s="14"/>
      <c r="C180" s="42" t="s">
        <v>273</v>
      </c>
      <c r="D180" s="15" t="s">
        <v>38</v>
      </c>
      <c r="E180" s="75">
        <f>HEX2DEC(D180)*C176</f>
        <v>6553.5</v>
      </c>
      <c r="F180" s="75">
        <f>E180</f>
        <v>6553.5</v>
      </c>
      <c r="G180" s="67" t="s">
        <v>274</v>
      </c>
      <c r="H180" s="121">
        <f>F180/1000</f>
        <v>6.5534999999999997</v>
      </c>
      <c r="I180" s="50" t="s">
        <v>275</v>
      </c>
    </row>
    <row r="181" spans="1:9" x14ac:dyDescent="0.35">
      <c r="A181" s="70" t="s">
        <v>161</v>
      </c>
      <c r="B181" s="16" t="s">
        <v>277</v>
      </c>
      <c r="C181" s="16" t="s">
        <v>52</v>
      </c>
      <c r="D181" s="10" t="s">
        <v>50</v>
      </c>
      <c r="E181" s="71"/>
      <c r="F181" s="86" t="s">
        <v>41</v>
      </c>
      <c r="G181" s="9"/>
      <c r="H181" s="86" t="s">
        <v>283</v>
      </c>
      <c r="I181" s="51"/>
    </row>
    <row r="182" spans="1:9" x14ac:dyDescent="0.35">
      <c r="A182" s="166" t="s">
        <v>161</v>
      </c>
      <c r="B182" s="27"/>
      <c r="C182" s="27" t="s">
        <v>278</v>
      </c>
      <c r="D182" s="28" t="s">
        <v>37</v>
      </c>
      <c r="E182" s="40">
        <f>HEX2DEC(D182)*C181</f>
        <v>0</v>
      </c>
      <c r="F182" s="40">
        <f>E182</f>
        <v>0</v>
      </c>
      <c r="G182" s="13" t="s">
        <v>281</v>
      </c>
      <c r="H182" s="94">
        <f>F182*(0.0022046)</f>
        <v>0</v>
      </c>
      <c r="I182" s="66" t="s">
        <v>282</v>
      </c>
    </row>
    <row r="183" spans="1:9" x14ac:dyDescent="0.35">
      <c r="A183" s="168" t="s">
        <v>161</v>
      </c>
      <c r="B183" s="11"/>
      <c r="C183" s="12"/>
      <c r="D183" s="13" t="s">
        <v>225</v>
      </c>
      <c r="E183" s="41">
        <f>HEX2DEC(D183)*C181</f>
        <v>0.01</v>
      </c>
      <c r="F183" s="41">
        <f>E183</f>
        <v>0.01</v>
      </c>
      <c r="G183" s="13" t="s">
        <v>281</v>
      </c>
      <c r="H183" s="94">
        <f>F183*(0.0022046)</f>
        <v>2.2046000000000002E-5</v>
      </c>
      <c r="I183" s="66" t="s">
        <v>282</v>
      </c>
    </row>
    <row r="184" spans="1:9" x14ac:dyDescent="0.35">
      <c r="A184" s="168" t="s">
        <v>161</v>
      </c>
      <c r="B184" s="12"/>
      <c r="C184" s="12" t="s">
        <v>279</v>
      </c>
      <c r="D184" s="88" t="s">
        <v>73</v>
      </c>
      <c r="E184" s="41">
        <f>HEX2DEC(D184)*C181</f>
        <v>327.68</v>
      </c>
      <c r="F184" s="41">
        <f>E184</f>
        <v>327.68</v>
      </c>
      <c r="G184" s="13" t="s">
        <v>281</v>
      </c>
      <c r="H184" s="94">
        <f>F184*(0.0022046)</f>
        <v>0.72240332800000007</v>
      </c>
      <c r="I184" s="89" t="s">
        <v>282</v>
      </c>
    </row>
    <row r="185" spans="1:9" ht="13.15" thickBot="1" x14ac:dyDescent="0.4">
      <c r="A185" s="165" t="s">
        <v>161</v>
      </c>
      <c r="B185" s="14"/>
      <c r="C185" s="42" t="s">
        <v>280</v>
      </c>
      <c r="D185" s="15" t="s">
        <v>38</v>
      </c>
      <c r="E185" s="77">
        <f>HEX2DEC(D185)*C181</f>
        <v>655.35</v>
      </c>
      <c r="F185" s="77">
        <f>E185</f>
        <v>655.35</v>
      </c>
      <c r="G185" s="67" t="s">
        <v>281</v>
      </c>
      <c r="H185" s="79">
        <f>F185*(0.0022046)</f>
        <v>1.4447846100000001</v>
      </c>
      <c r="I185" s="50" t="s">
        <v>282</v>
      </c>
    </row>
    <row r="186" spans="1:9" x14ac:dyDescent="0.35">
      <c r="A186" s="70" t="s">
        <v>162</v>
      </c>
      <c r="B186" s="16" t="s">
        <v>277</v>
      </c>
      <c r="C186" s="16" t="s">
        <v>176</v>
      </c>
      <c r="D186" s="10" t="s">
        <v>50</v>
      </c>
      <c r="E186" s="71"/>
      <c r="F186" s="86" t="s">
        <v>39</v>
      </c>
      <c r="G186" s="9"/>
      <c r="H186" s="86" t="s">
        <v>41</v>
      </c>
      <c r="I186" s="51"/>
    </row>
    <row r="187" spans="1:9" x14ac:dyDescent="0.35">
      <c r="A187" s="166" t="s">
        <v>162</v>
      </c>
      <c r="B187" s="27"/>
      <c r="C187" s="27" t="s">
        <v>321</v>
      </c>
      <c r="D187" s="28" t="s">
        <v>37</v>
      </c>
      <c r="E187" s="40">
        <f>HEX2DEC(D187)*C186</f>
        <v>0</v>
      </c>
      <c r="F187" s="40">
        <f>E187</f>
        <v>0</v>
      </c>
      <c r="G187" s="13" t="s">
        <v>281</v>
      </c>
      <c r="H187" s="87">
        <f>F187*(0.0022046)</f>
        <v>0</v>
      </c>
      <c r="I187" s="130" t="s">
        <v>282</v>
      </c>
    </row>
    <row r="188" spans="1:9" x14ac:dyDescent="0.35">
      <c r="A188" s="168" t="s">
        <v>162</v>
      </c>
      <c r="B188" s="11"/>
      <c r="C188" s="12"/>
      <c r="D188" s="13" t="s">
        <v>225</v>
      </c>
      <c r="E188" s="40">
        <f>HEX2DEC(D188)*C186</f>
        <v>1</v>
      </c>
      <c r="F188" s="40">
        <f>E188</f>
        <v>1</v>
      </c>
      <c r="G188" s="13" t="s">
        <v>281</v>
      </c>
      <c r="H188" s="87">
        <f>F188*(0.0022046)</f>
        <v>2.2046000000000001E-3</v>
      </c>
      <c r="I188" s="130" t="s">
        <v>282</v>
      </c>
    </row>
    <row r="189" spans="1:9" x14ac:dyDescent="0.35">
      <c r="A189" s="168" t="s">
        <v>162</v>
      </c>
      <c r="B189" s="12"/>
      <c r="C189" s="12" t="s">
        <v>279</v>
      </c>
      <c r="D189" s="88" t="s">
        <v>73</v>
      </c>
      <c r="E189" s="40">
        <f>HEX2DEC(D189)*C186</f>
        <v>32768</v>
      </c>
      <c r="F189" s="40">
        <f>E189</f>
        <v>32768</v>
      </c>
      <c r="G189" s="13" t="s">
        <v>281</v>
      </c>
      <c r="H189" s="87">
        <f>F189*(0.0022046)</f>
        <v>72.240332800000004</v>
      </c>
      <c r="I189" s="131" t="s">
        <v>282</v>
      </c>
    </row>
    <row r="190" spans="1:9" ht="13.15" thickBot="1" x14ac:dyDescent="0.4">
      <c r="A190" s="165" t="s">
        <v>162</v>
      </c>
      <c r="B190" s="14"/>
      <c r="C190" s="42" t="s">
        <v>280</v>
      </c>
      <c r="D190" s="15" t="s">
        <v>38</v>
      </c>
      <c r="E190" s="68">
        <f>HEX2DEC(D190)*C186</f>
        <v>65535</v>
      </c>
      <c r="F190" s="68">
        <f>E190</f>
        <v>65535</v>
      </c>
      <c r="G190" s="67" t="s">
        <v>281</v>
      </c>
      <c r="H190" s="77">
        <f>F190*(0.0022046)</f>
        <v>144.47846100000001</v>
      </c>
      <c r="I190" s="132" t="s">
        <v>282</v>
      </c>
    </row>
    <row r="191" spans="1:9" x14ac:dyDescent="0.35">
      <c r="A191" s="70" t="s">
        <v>163</v>
      </c>
      <c r="B191" s="16" t="s">
        <v>284</v>
      </c>
      <c r="C191" s="16" t="s">
        <v>59</v>
      </c>
      <c r="D191" s="10" t="s">
        <v>50</v>
      </c>
      <c r="E191" s="71"/>
      <c r="F191" s="86" t="s">
        <v>331</v>
      </c>
      <c r="G191" s="9"/>
      <c r="H191" s="86" t="s">
        <v>42</v>
      </c>
      <c r="I191" s="51"/>
    </row>
    <row r="192" spans="1:9" x14ac:dyDescent="0.35">
      <c r="A192" s="166" t="s">
        <v>163</v>
      </c>
      <c r="B192" s="27"/>
      <c r="C192" s="27" t="s">
        <v>285</v>
      </c>
      <c r="D192" s="28" t="s">
        <v>37</v>
      </c>
      <c r="E192" s="40">
        <f>HEX2DEC(D192)*C191</f>
        <v>0</v>
      </c>
      <c r="F192" s="40">
        <f>E192</f>
        <v>0</v>
      </c>
      <c r="G192" s="13" t="s">
        <v>327</v>
      </c>
      <c r="H192" s="90">
        <f t="shared" ref="H192:H197" si="3">F192*4.01463</f>
        <v>0</v>
      </c>
      <c r="I192" s="66" t="s">
        <v>328</v>
      </c>
    </row>
    <row r="193" spans="1:9" x14ac:dyDescent="0.35">
      <c r="A193" s="168" t="s">
        <v>163</v>
      </c>
      <c r="B193" s="11"/>
      <c r="C193" s="12" t="s">
        <v>322</v>
      </c>
      <c r="D193" s="28" t="s">
        <v>225</v>
      </c>
      <c r="E193" s="41">
        <f>HEX2DEC(D193)*C191</f>
        <v>0.25</v>
      </c>
      <c r="F193" s="120">
        <f>E193/1000</f>
        <v>2.5000000000000001E-4</v>
      </c>
      <c r="G193" s="13" t="s">
        <v>327</v>
      </c>
      <c r="H193" s="94">
        <f t="shared" si="3"/>
        <v>1.0036575000000002E-3</v>
      </c>
      <c r="I193" s="66" t="s">
        <v>328</v>
      </c>
    </row>
    <row r="194" spans="1:9" x14ac:dyDescent="0.35">
      <c r="A194" s="168" t="s">
        <v>163</v>
      </c>
      <c r="B194" s="11"/>
      <c r="C194" s="12" t="s">
        <v>323</v>
      </c>
      <c r="D194" s="28" t="s">
        <v>330</v>
      </c>
      <c r="E194" s="41">
        <f>HEX2DEC(D194)*C191</f>
        <v>1</v>
      </c>
      <c r="F194" s="120">
        <f>E194/1000</f>
        <v>1E-3</v>
      </c>
      <c r="G194" s="13" t="s">
        <v>327</v>
      </c>
      <c r="H194" s="94">
        <f t="shared" si="3"/>
        <v>4.0146300000000008E-3</v>
      </c>
      <c r="I194" s="66" t="s">
        <v>328</v>
      </c>
    </row>
    <row r="195" spans="1:9" x14ac:dyDescent="0.35">
      <c r="A195" s="168" t="s">
        <v>163</v>
      </c>
      <c r="B195" s="11"/>
      <c r="C195" s="12" t="s">
        <v>324</v>
      </c>
      <c r="D195" s="28" t="s">
        <v>329</v>
      </c>
      <c r="E195" s="41">
        <f>HEX2DEC(D195)*C191</f>
        <v>4096</v>
      </c>
      <c r="F195" s="120">
        <f>E195/1000</f>
        <v>4.0960000000000001</v>
      </c>
      <c r="G195" s="13" t="s">
        <v>327</v>
      </c>
      <c r="H195" s="94">
        <f t="shared" si="3"/>
        <v>16.443924480000003</v>
      </c>
      <c r="I195" s="66" t="s">
        <v>328</v>
      </c>
    </row>
    <row r="196" spans="1:9" x14ac:dyDescent="0.35">
      <c r="A196" s="168" t="s">
        <v>163</v>
      </c>
      <c r="B196" s="12"/>
      <c r="C196" s="170" t="s">
        <v>325</v>
      </c>
      <c r="D196" s="28" t="s">
        <v>73</v>
      </c>
      <c r="E196" s="41">
        <f>HEX2DEC(D196)*C191</f>
        <v>8192</v>
      </c>
      <c r="F196" s="120">
        <f>E196/1000</f>
        <v>8.1920000000000002</v>
      </c>
      <c r="G196" s="13" t="s">
        <v>327</v>
      </c>
      <c r="H196" s="94">
        <f t="shared" si="3"/>
        <v>32.887848960000007</v>
      </c>
      <c r="I196" s="66" t="s">
        <v>328</v>
      </c>
    </row>
    <row r="197" spans="1:9" ht="13.15" thickBot="1" x14ac:dyDescent="0.4">
      <c r="A197" s="165" t="s">
        <v>163</v>
      </c>
      <c r="B197" s="14"/>
      <c r="C197" s="21" t="s">
        <v>326</v>
      </c>
      <c r="D197" s="67" t="s">
        <v>38</v>
      </c>
      <c r="E197" s="77">
        <f>HEX2DEC(D197)*C191</f>
        <v>16383.75</v>
      </c>
      <c r="F197" s="122">
        <f>E197/1000</f>
        <v>16.383749999999999</v>
      </c>
      <c r="G197" s="67" t="s">
        <v>327</v>
      </c>
      <c r="H197" s="79">
        <f t="shared" si="3"/>
        <v>65.774694262500006</v>
      </c>
      <c r="I197" s="93" t="s">
        <v>328</v>
      </c>
    </row>
    <row r="198" spans="1:9" x14ac:dyDescent="0.35">
      <c r="A198" s="70" t="s">
        <v>164</v>
      </c>
      <c r="B198" s="16" t="s">
        <v>277</v>
      </c>
      <c r="C198" s="16" t="s">
        <v>69</v>
      </c>
      <c r="D198" s="10" t="s">
        <v>50</v>
      </c>
      <c r="E198" s="71"/>
      <c r="F198" s="86" t="s">
        <v>42</v>
      </c>
      <c r="G198" s="9"/>
      <c r="H198" s="86" t="s">
        <v>41</v>
      </c>
      <c r="I198" s="51"/>
    </row>
    <row r="199" spans="1:9" x14ac:dyDescent="0.35">
      <c r="A199" s="166" t="s">
        <v>164</v>
      </c>
      <c r="B199" s="27"/>
      <c r="C199" s="27" t="s">
        <v>332</v>
      </c>
      <c r="D199" s="28" t="s">
        <v>37</v>
      </c>
      <c r="E199" s="40">
        <f>HEX2DEC(D199)*C198</f>
        <v>0</v>
      </c>
      <c r="F199" s="40">
        <f>E199</f>
        <v>0</v>
      </c>
      <c r="G199" s="13" t="s">
        <v>335</v>
      </c>
      <c r="H199" s="41">
        <f>F199*(2.20462)</f>
        <v>0</v>
      </c>
      <c r="I199" s="130" t="s">
        <v>336</v>
      </c>
    </row>
    <row r="200" spans="1:9" x14ac:dyDescent="0.35">
      <c r="A200" s="168" t="s">
        <v>164</v>
      </c>
      <c r="B200" s="11"/>
      <c r="C200" s="12"/>
      <c r="D200" s="13" t="s">
        <v>225</v>
      </c>
      <c r="E200" s="39">
        <f>HEX2DEC(D200)*C198</f>
        <v>1E-3</v>
      </c>
      <c r="F200" s="39">
        <f>E200</f>
        <v>1E-3</v>
      </c>
      <c r="G200" s="13" t="s">
        <v>335</v>
      </c>
      <c r="H200" s="41">
        <f>F200*(2.20462)</f>
        <v>2.20462E-3</v>
      </c>
      <c r="I200" s="130" t="s">
        <v>336</v>
      </c>
    </row>
    <row r="201" spans="1:9" x14ac:dyDescent="0.35">
      <c r="A201" s="168" t="s">
        <v>164</v>
      </c>
      <c r="B201" s="12"/>
      <c r="C201" s="12" t="s">
        <v>333</v>
      </c>
      <c r="D201" s="88" t="s">
        <v>73</v>
      </c>
      <c r="E201" s="39">
        <f>HEX2DEC(D201)*C198</f>
        <v>32.768000000000001</v>
      </c>
      <c r="F201" s="39">
        <f>E201</f>
        <v>32.768000000000001</v>
      </c>
      <c r="G201" s="13" t="s">
        <v>335</v>
      </c>
      <c r="H201" s="41">
        <f>F201*(2.20462)</f>
        <v>72.240988160000001</v>
      </c>
      <c r="I201" s="130" t="s">
        <v>336</v>
      </c>
    </row>
    <row r="202" spans="1:9" ht="13.15" thickBot="1" x14ac:dyDescent="0.4">
      <c r="A202" s="165" t="s">
        <v>164</v>
      </c>
      <c r="B202" s="14"/>
      <c r="C202" s="42" t="s">
        <v>334</v>
      </c>
      <c r="D202" s="15" t="s">
        <v>38</v>
      </c>
      <c r="E202" s="79">
        <f>HEX2DEC(D202)*C198</f>
        <v>65.534999999999997</v>
      </c>
      <c r="F202" s="79">
        <f>E202</f>
        <v>65.534999999999997</v>
      </c>
      <c r="G202" s="15" t="s">
        <v>335</v>
      </c>
      <c r="H202" s="77">
        <f>F202*(2.20462)</f>
        <v>144.47977169999999</v>
      </c>
      <c r="I202" s="133" t="s">
        <v>336</v>
      </c>
    </row>
    <row r="203" spans="1:9" x14ac:dyDescent="0.35">
      <c r="A203" s="64" t="s">
        <v>165</v>
      </c>
      <c r="B203" s="8" t="s">
        <v>337</v>
      </c>
      <c r="C203" s="9" t="s">
        <v>176</v>
      </c>
      <c r="D203" s="10" t="s">
        <v>50</v>
      </c>
      <c r="E203" s="30"/>
      <c r="F203" s="10" t="s">
        <v>39</v>
      </c>
      <c r="G203" s="10"/>
      <c r="H203" s="65"/>
      <c r="I203" s="51"/>
    </row>
    <row r="204" spans="1:9" x14ac:dyDescent="0.35">
      <c r="A204" s="166" t="s">
        <v>165</v>
      </c>
      <c r="B204" s="27"/>
      <c r="C204" s="26" t="s">
        <v>338</v>
      </c>
      <c r="D204" s="28" t="s">
        <v>37</v>
      </c>
      <c r="E204" s="40">
        <f>HEX2DEC(D204)*C203</f>
        <v>0</v>
      </c>
      <c r="F204" s="40">
        <f>E204</f>
        <v>0</v>
      </c>
      <c r="G204" s="35" t="s">
        <v>339</v>
      </c>
      <c r="H204" s="40"/>
      <c r="I204" s="66"/>
    </row>
    <row r="205" spans="1:9" x14ac:dyDescent="0.35">
      <c r="A205" s="168" t="s">
        <v>165</v>
      </c>
      <c r="B205" s="11"/>
      <c r="C205" s="26"/>
      <c r="D205" s="28" t="s">
        <v>225</v>
      </c>
      <c r="E205" s="40">
        <f>HEX2DEC(D205)*C203</f>
        <v>1</v>
      </c>
      <c r="F205" s="40">
        <f>E205</f>
        <v>1</v>
      </c>
      <c r="G205" s="35" t="s">
        <v>339</v>
      </c>
      <c r="H205" s="40"/>
      <c r="I205" s="66"/>
    </row>
    <row r="206" spans="1:9" x14ac:dyDescent="0.35">
      <c r="A206" s="168" t="s">
        <v>165</v>
      </c>
      <c r="B206" s="12"/>
      <c r="C206" s="26"/>
      <c r="D206" s="13" t="s">
        <v>73</v>
      </c>
      <c r="E206" s="40">
        <f>HEX2DEC(D206)*C203</f>
        <v>32768</v>
      </c>
      <c r="F206" s="40">
        <f>E206</f>
        <v>32768</v>
      </c>
      <c r="G206" s="35" t="s">
        <v>339</v>
      </c>
      <c r="H206" s="40"/>
      <c r="I206" s="66"/>
    </row>
    <row r="207" spans="1:9" ht="13.15" thickBot="1" x14ac:dyDescent="0.4">
      <c r="A207" s="165" t="s">
        <v>165</v>
      </c>
      <c r="B207" s="14"/>
      <c r="C207" s="14"/>
      <c r="D207" s="67" t="s">
        <v>38</v>
      </c>
      <c r="E207" s="103">
        <f>HEX2DEC(D207)*C203</f>
        <v>65535</v>
      </c>
      <c r="F207" s="103">
        <f>E207</f>
        <v>65535</v>
      </c>
      <c r="G207" s="68" t="s">
        <v>339</v>
      </c>
      <c r="H207" s="69"/>
      <c r="I207" s="50"/>
    </row>
    <row r="208" spans="1:9" x14ac:dyDescent="0.35">
      <c r="A208" s="70" t="s">
        <v>166</v>
      </c>
      <c r="B208" s="16" t="s">
        <v>340</v>
      </c>
      <c r="C208" s="16" t="s">
        <v>70</v>
      </c>
      <c r="D208" s="10" t="s">
        <v>50</v>
      </c>
      <c r="E208" s="71"/>
      <c r="F208" s="86" t="s">
        <v>41</v>
      </c>
      <c r="G208" s="9"/>
      <c r="H208" s="86"/>
      <c r="I208" s="51"/>
    </row>
    <row r="209" spans="1:9" x14ac:dyDescent="0.35">
      <c r="A209" s="166" t="s">
        <v>166</v>
      </c>
      <c r="B209" s="27"/>
      <c r="C209" s="27" t="s">
        <v>341</v>
      </c>
      <c r="D209" s="28" t="s">
        <v>37</v>
      </c>
      <c r="E209" s="40">
        <f>HEX2DEC(D209)*C208</f>
        <v>0</v>
      </c>
      <c r="F209" s="40">
        <f>E209</f>
        <v>0</v>
      </c>
      <c r="G209" s="13" t="s">
        <v>342</v>
      </c>
      <c r="H209" s="41"/>
      <c r="I209" s="130"/>
    </row>
    <row r="210" spans="1:9" x14ac:dyDescent="0.35">
      <c r="A210" s="168" t="s">
        <v>166</v>
      </c>
      <c r="B210" s="11"/>
      <c r="C210" s="12"/>
      <c r="D210" s="13" t="s">
        <v>225</v>
      </c>
      <c r="E210" s="41">
        <f>HEX2DEC(D210)*C208</f>
        <v>0.01</v>
      </c>
      <c r="F210" s="41">
        <f>E210</f>
        <v>0.01</v>
      </c>
      <c r="G210" s="13" t="s">
        <v>342</v>
      </c>
      <c r="H210" s="41"/>
      <c r="I210" s="130"/>
    </row>
    <row r="211" spans="1:9" x14ac:dyDescent="0.35">
      <c r="A211" s="168" t="s">
        <v>166</v>
      </c>
      <c r="B211" s="12"/>
      <c r="C211" s="12"/>
      <c r="D211" s="88" t="s">
        <v>73</v>
      </c>
      <c r="E211" s="41">
        <f>HEX2DEC(D211)*C208</f>
        <v>327.68</v>
      </c>
      <c r="F211" s="41">
        <f>E211</f>
        <v>327.68</v>
      </c>
      <c r="G211" s="13" t="s">
        <v>342</v>
      </c>
      <c r="H211" s="41"/>
      <c r="I211" s="130"/>
    </row>
    <row r="212" spans="1:9" ht="13.15" thickBot="1" x14ac:dyDescent="0.4">
      <c r="A212" s="165" t="s">
        <v>166</v>
      </c>
      <c r="B212" s="14"/>
      <c r="C212" s="42"/>
      <c r="D212" s="15" t="s">
        <v>38</v>
      </c>
      <c r="E212" s="77">
        <f>HEX2DEC(D212)*C208</f>
        <v>655.35</v>
      </c>
      <c r="F212" s="77">
        <f>E212</f>
        <v>655.35</v>
      </c>
      <c r="G212" s="15" t="s">
        <v>342</v>
      </c>
      <c r="H212" s="77"/>
      <c r="I212" s="133"/>
    </row>
    <row r="213" spans="1:9" x14ac:dyDescent="0.35">
      <c r="A213" s="70" t="s">
        <v>167</v>
      </c>
      <c r="B213" s="16" t="s">
        <v>343</v>
      </c>
      <c r="C213" s="16" t="s">
        <v>70</v>
      </c>
      <c r="D213" s="10" t="s">
        <v>50</v>
      </c>
      <c r="E213" s="71"/>
      <c r="F213" s="86" t="s">
        <v>41</v>
      </c>
      <c r="G213" s="9"/>
      <c r="H213" s="86"/>
      <c r="I213" s="51"/>
    </row>
    <row r="214" spans="1:9" x14ac:dyDescent="0.35">
      <c r="A214" s="166" t="s">
        <v>167</v>
      </c>
      <c r="B214" s="27"/>
      <c r="C214" s="134" t="s">
        <v>344</v>
      </c>
      <c r="D214" s="28" t="s">
        <v>37</v>
      </c>
      <c r="E214" s="40">
        <f>HEX2DEC(D214)*C213</f>
        <v>0</v>
      </c>
      <c r="F214" s="40">
        <f>E214</f>
        <v>0</v>
      </c>
      <c r="G214" s="13" t="s">
        <v>345</v>
      </c>
      <c r="H214" s="41"/>
      <c r="I214" s="130"/>
    </row>
    <row r="215" spans="1:9" x14ac:dyDescent="0.35">
      <c r="A215" s="168" t="s">
        <v>167</v>
      </c>
      <c r="B215" s="11"/>
      <c r="C215" s="12"/>
      <c r="D215" s="13" t="s">
        <v>225</v>
      </c>
      <c r="E215" s="41">
        <f>HEX2DEC(D215)*C213</f>
        <v>0.01</v>
      </c>
      <c r="F215" s="41">
        <f>E215</f>
        <v>0.01</v>
      </c>
      <c r="G215" s="13" t="s">
        <v>345</v>
      </c>
      <c r="H215" s="41"/>
      <c r="I215" s="130"/>
    </row>
    <row r="216" spans="1:9" x14ac:dyDescent="0.35">
      <c r="A216" s="168" t="s">
        <v>167</v>
      </c>
      <c r="B216" s="12"/>
      <c r="C216" s="12"/>
      <c r="D216" s="88" t="s">
        <v>73</v>
      </c>
      <c r="E216" s="41">
        <f>HEX2DEC(D216)*C213</f>
        <v>327.68</v>
      </c>
      <c r="F216" s="41">
        <f>E216</f>
        <v>327.68</v>
      </c>
      <c r="G216" s="13" t="s">
        <v>345</v>
      </c>
      <c r="H216" s="41"/>
      <c r="I216" s="130"/>
    </row>
    <row r="217" spans="1:9" ht="13.15" thickBot="1" x14ac:dyDescent="0.4">
      <c r="A217" s="165" t="s">
        <v>167</v>
      </c>
      <c r="B217" s="14"/>
      <c r="C217" s="42"/>
      <c r="D217" s="15" t="s">
        <v>38</v>
      </c>
      <c r="E217" s="77">
        <f>HEX2DEC(D217)*C213</f>
        <v>655.35</v>
      </c>
      <c r="F217" s="77">
        <f>E217</f>
        <v>655.35</v>
      </c>
      <c r="G217" s="15" t="s">
        <v>345</v>
      </c>
      <c r="H217" s="77"/>
      <c r="I217" s="133"/>
    </row>
    <row r="218" spans="1:9" x14ac:dyDescent="0.35">
      <c r="A218" s="64" t="s">
        <v>168</v>
      </c>
      <c r="B218" s="8" t="s">
        <v>346</v>
      </c>
      <c r="C218" s="9" t="s">
        <v>176</v>
      </c>
      <c r="D218" s="10" t="s">
        <v>50</v>
      </c>
      <c r="E218" s="30"/>
      <c r="F218" s="10" t="s">
        <v>39</v>
      </c>
      <c r="G218" s="10"/>
      <c r="H218" s="65"/>
      <c r="I218" s="51"/>
    </row>
    <row r="219" spans="1:9" x14ac:dyDescent="0.35">
      <c r="A219" s="164" t="s">
        <v>168</v>
      </c>
      <c r="B219" s="22"/>
      <c r="C219" s="26" t="s">
        <v>347</v>
      </c>
      <c r="D219" s="28" t="s">
        <v>37</v>
      </c>
      <c r="E219" s="35">
        <f>HEX2DEC(D219)*C218</f>
        <v>0</v>
      </c>
      <c r="F219" s="35" t="b">
        <v>0</v>
      </c>
      <c r="G219" s="35"/>
      <c r="H219" s="40"/>
      <c r="I219" s="66"/>
    </row>
    <row r="220" spans="1:9" ht="13.15" thickBot="1" x14ac:dyDescent="0.4">
      <c r="A220" s="165" t="s">
        <v>168</v>
      </c>
      <c r="B220" s="14"/>
      <c r="C220" s="14"/>
      <c r="D220" s="67" t="s">
        <v>225</v>
      </c>
      <c r="E220" s="68">
        <f>HEX2DEC(D220)*C218</f>
        <v>1</v>
      </c>
      <c r="F220" s="68" t="b">
        <v>1</v>
      </c>
      <c r="G220" s="68"/>
      <c r="H220" s="69"/>
      <c r="I220" s="50"/>
    </row>
    <row r="221" spans="1:9" x14ac:dyDescent="0.35">
      <c r="A221" s="70" t="s">
        <v>203</v>
      </c>
      <c r="B221" s="16" t="s">
        <v>348</v>
      </c>
      <c r="C221" s="16" t="s">
        <v>70</v>
      </c>
      <c r="D221" s="10" t="s">
        <v>50</v>
      </c>
      <c r="E221" s="71"/>
      <c r="F221" s="86" t="s">
        <v>41</v>
      </c>
      <c r="G221" s="9"/>
      <c r="H221" s="86"/>
      <c r="I221" s="51"/>
    </row>
    <row r="222" spans="1:9" x14ac:dyDescent="0.35">
      <c r="A222" s="166" t="s">
        <v>203</v>
      </c>
      <c r="B222" s="27"/>
      <c r="C222" s="27" t="s">
        <v>349</v>
      </c>
      <c r="D222" s="28" t="s">
        <v>37</v>
      </c>
      <c r="E222" s="40">
        <f>HEX2DEC(D222)*C221</f>
        <v>0</v>
      </c>
      <c r="F222" s="40">
        <f>E222</f>
        <v>0</v>
      </c>
      <c r="G222" s="13" t="s">
        <v>350</v>
      </c>
      <c r="H222" s="135">
        <f>F222/100</f>
        <v>0</v>
      </c>
      <c r="I222" s="130" t="s">
        <v>350</v>
      </c>
    </row>
    <row r="223" spans="1:9" x14ac:dyDescent="0.35">
      <c r="A223" s="168" t="s">
        <v>203</v>
      </c>
      <c r="B223" s="11"/>
      <c r="C223" s="12"/>
      <c r="D223" s="13" t="s">
        <v>225</v>
      </c>
      <c r="E223" s="41">
        <f>HEX2DEC(D223)*C221</f>
        <v>0.01</v>
      </c>
      <c r="F223" s="41">
        <f>E223</f>
        <v>0.01</v>
      </c>
      <c r="G223" s="13" t="s">
        <v>350</v>
      </c>
      <c r="H223" s="135">
        <f>F223/100</f>
        <v>1E-4</v>
      </c>
      <c r="I223" s="130" t="s">
        <v>350</v>
      </c>
    </row>
    <row r="224" spans="1:9" x14ac:dyDescent="0.35">
      <c r="A224" s="168" t="s">
        <v>203</v>
      </c>
      <c r="B224" s="12"/>
      <c r="C224" s="12"/>
      <c r="D224" s="88" t="s">
        <v>351</v>
      </c>
      <c r="E224" s="41">
        <f>HEX2DEC(D224)*C221</f>
        <v>100</v>
      </c>
      <c r="F224" s="41">
        <f>E224</f>
        <v>100</v>
      </c>
      <c r="G224" s="13" t="s">
        <v>350</v>
      </c>
      <c r="H224" s="135">
        <f>F224/100</f>
        <v>1</v>
      </c>
      <c r="I224" s="130" t="s">
        <v>350</v>
      </c>
    </row>
    <row r="225" spans="1:9" ht="13.15" thickBot="1" x14ac:dyDescent="0.4">
      <c r="A225" s="165" t="s">
        <v>203</v>
      </c>
      <c r="B225" s="14"/>
      <c r="C225" s="42"/>
      <c r="D225" s="15" t="s">
        <v>38</v>
      </c>
      <c r="E225" s="77">
        <f>HEX2DEC(D225)*C221</f>
        <v>655.35</v>
      </c>
      <c r="F225" s="77">
        <f>E225</f>
        <v>655.35</v>
      </c>
      <c r="G225" s="15" t="s">
        <v>350</v>
      </c>
      <c r="H225" s="136">
        <f>F225/100</f>
        <v>6.5535000000000005</v>
      </c>
      <c r="I225" s="133" t="s">
        <v>350</v>
      </c>
    </row>
    <row r="226" spans="1:9" x14ac:dyDescent="0.35">
      <c r="A226" s="70" t="s">
        <v>169</v>
      </c>
      <c r="B226" s="16" t="s">
        <v>348</v>
      </c>
      <c r="C226" s="16" t="s">
        <v>353</v>
      </c>
      <c r="D226" s="10" t="s">
        <v>50</v>
      </c>
      <c r="E226" s="71"/>
      <c r="F226" s="86" t="s">
        <v>354</v>
      </c>
      <c r="G226" s="9"/>
      <c r="H226" s="86"/>
      <c r="I226" s="51"/>
    </row>
    <row r="227" spans="1:9" x14ac:dyDescent="0.35">
      <c r="A227" s="166" t="s">
        <v>169</v>
      </c>
      <c r="B227" s="27"/>
      <c r="C227" s="27" t="s">
        <v>352</v>
      </c>
      <c r="D227" s="28" t="s">
        <v>37</v>
      </c>
      <c r="E227" s="137">
        <f>HEX2DEC(D227)*C226</f>
        <v>0</v>
      </c>
      <c r="F227" s="137">
        <f>E227</f>
        <v>0</v>
      </c>
      <c r="G227" s="13" t="s">
        <v>350</v>
      </c>
      <c r="H227" s="138">
        <f>F227/100</f>
        <v>0</v>
      </c>
      <c r="I227" s="130" t="s">
        <v>350</v>
      </c>
    </row>
    <row r="228" spans="1:9" x14ac:dyDescent="0.35">
      <c r="A228" s="168" t="s">
        <v>169</v>
      </c>
      <c r="B228" s="11"/>
      <c r="C228" s="12"/>
      <c r="D228" s="13" t="s">
        <v>225</v>
      </c>
      <c r="E228" s="137">
        <f>HEX2DEC(D228)*C226</f>
        <v>1.526E-3</v>
      </c>
      <c r="F228" s="137">
        <f>E228</f>
        <v>1.526E-3</v>
      </c>
      <c r="G228" s="13" t="s">
        <v>350</v>
      </c>
      <c r="H228" s="138">
        <f>F228/100</f>
        <v>1.526E-5</v>
      </c>
      <c r="I228" s="130" t="s">
        <v>350</v>
      </c>
    </row>
    <row r="229" spans="1:9" x14ac:dyDescent="0.35">
      <c r="A229" s="168" t="s">
        <v>169</v>
      </c>
      <c r="B229" s="12"/>
      <c r="C229" s="12"/>
      <c r="D229" s="88" t="s">
        <v>73</v>
      </c>
      <c r="E229" s="137">
        <f>HEX2DEC(D229)*C226</f>
        <v>50.003968</v>
      </c>
      <c r="F229" s="137">
        <f>E229</f>
        <v>50.003968</v>
      </c>
      <c r="G229" s="13" t="s">
        <v>350</v>
      </c>
      <c r="H229" s="138">
        <f>F229/100</f>
        <v>0.50003967999999999</v>
      </c>
      <c r="I229" s="130" t="s">
        <v>350</v>
      </c>
    </row>
    <row r="230" spans="1:9" ht="13.15" thickBot="1" x14ac:dyDescent="0.4">
      <c r="A230" s="165" t="s">
        <v>169</v>
      </c>
      <c r="B230" s="14"/>
      <c r="C230" s="42"/>
      <c r="D230" s="15" t="s">
        <v>38</v>
      </c>
      <c r="E230" s="32">
        <f>HEX2DEC(D230)*C226</f>
        <v>100.00641</v>
      </c>
      <c r="F230" s="32">
        <f>E230</f>
        <v>100.00641</v>
      </c>
      <c r="G230" s="15" t="s">
        <v>350</v>
      </c>
      <c r="H230" s="139">
        <f>F230/100</f>
        <v>1.0000641000000001</v>
      </c>
      <c r="I230" s="133" t="s">
        <v>350</v>
      </c>
    </row>
    <row r="231" spans="1:9" x14ac:dyDescent="0.35">
      <c r="A231" s="70" t="s">
        <v>143</v>
      </c>
      <c r="B231" s="16" t="s">
        <v>0</v>
      </c>
      <c r="C231" s="16" t="s">
        <v>69</v>
      </c>
      <c r="D231" s="10" t="s">
        <v>50</v>
      </c>
      <c r="E231" s="71"/>
      <c r="F231" s="86" t="s">
        <v>42</v>
      </c>
      <c r="G231" s="172" t="s">
        <v>2</v>
      </c>
      <c r="H231" s="86"/>
      <c r="I231" s="51"/>
    </row>
    <row r="232" spans="1:9" x14ac:dyDescent="0.35">
      <c r="A232" s="166" t="s">
        <v>143</v>
      </c>
      <c r="B232" s="27"/>
      <c r="C232" s="27" t="s">
        <v>1</v>
      </c>
      <c r="D232" s="28" t="s">
        <v>37</v>
      </c>
      <c r="E232" s="40">
        <f>HEX2DEC(D232)*C231</f>
        <v>0</v>
      </c>
      <c r="F232" s="40">
        <f>E232</f>
        <v>0</v>
      </c>
      <c r="G232" s="13" t="s">
        <v>2</v>
      </c>
      <c r="H232" s="41"/>
      <c r="I232" s="130"/>
    </row>
    <row r="233" spans="1:9" x14ac:dyDescent="0.35">
      <c r="A233" s="168" t="s">
        <v>143</v>
      </c>
      <c r="B233" s="11"/>
      <c r="C233" s="12"/>
      <c r="D233" s="13" t="s">
        <v>225</v>
      </c>
      <c r="E233" s="39">
        <f>HEX2DEC(D233)*C231</f>
        <v>1E-3</v>
      </c>
      <c r="F233" s="39">
        <f>E233</f>
        <v>1E-3</v>
      </c>
      <c r="G233" s="13" t="s">
        <v>2</v>
      </c>
      <c r="H233" s="41"/>
      <c r="I233" s="130"/>
    </row>
    <row r="234" spans="1:9" x14ac:dyDescent="0.35">
      <c r="A234" s="168" t="s">
        <v>143</v>
      </c>
      <c r="B234" s="12"/>
      <c r="C234" s="12"/>
      <c r="D234" s="88" t="s">
        <v>73</v>
      </c>
      <c r="E234" s="39">
        <f>HEX2DEC(D234)*C231</f>
        <v>32.768000000000001</v>
      </c>
      <c r="F234" s="39">
        <f>E234</f>
        <v>32.768000000000001</v>
      </c>
      <c r="G234" s="13" t="s">
        <v>2</v>
      </c>
      <c r="H234" s="41"/>
      <c r="I234" s="130"/>
    </row>
    <row r="235" spans="1:9" ht="13.15" thickBot="1" x14ac:dyDescent="0.4">
      <c r="A235" s="165" t="s">
        <v>143</v>
      </c>
      <c r="B235" s="14"/>
      <c r="C235" s="42"/>
      <c r="D235" s="15" t="s">
        <v>38</v>
      </c>
      <c r="E235" s="79">
        <f>HEX2DEC(D235)*C231</f>
        <v>65.534999999999997</v>
      </c>
      <c r="F235" s="79">
        <f>E235</f>
        <v>65.534999999999997</v>
      </c>
      <c r="G235" s="15" t="s">
        <v>2</v>
      </c>
      <c r="H235" s="77"/>
      <c r="I235" s="133"/>
    </row>
    <row r="236" spans="1:9" x14ac:dyDescent="0.35">
      <c r="A236" s="70" t="s">
        <v>247</v>
      </c>
      <c r="B236" s="16" t="s">
        <v>3</v>
      </c>
      <c r="C236" s="16" t="s">
        <v>16</v>
      </c>
      <c r="D236" s="10" t="s">
        <v>50</v>
      </c>
      <c r="E236" s="71"/>
      <c r="F236" s="10" t="s">
        <v>66</v>
      </c>
      <c r="G236" s="10"/>
      <c r="H236" s="65" t="s">
        <v>9</v>
      </c>
      <c r="I236" s="51"/>
    </row>
    <row r="237" spans="1:9" x14ac:dyDescent="0.35">
      <c r="A237" s="166" t="s">
        <v>247</v>
      </c>
      <c r="B237" s="27"/>
      <c r="C237" s="12" t="s">
        <v>4</v>
      </c>
      <c r="D237" s="28" t="s">
        <v>37</v>
      </c>
      <c r="E237" s="97">
        <f>HEX2DEC(D237)*C236</f>
        <v>0</v>
      </c>
      <c r="F237" s="43">
        <f>E237</f>
        <v>0</v>
      </c>
      <c r="G237" s="37" t="s">
        <v>6</v>
      </c>
      <c r="H237" s="126">
        <f>F237*25.4</f>
        <v>0</v>
      </c>
      <c r="I237" s="66" t="s">
        <v>10</v>
      </c>
    </row>
    <row r="238" spans="1:9" x14ac:dyDescent="0.35">
      <c r="A238" s="164" t="s">
        <v>247</v>
      </c>
      <c r="B238" s="25"/>
      <c r="C238" s="26"/>
      <c r="D238" s="28" t="s">
        <v>7</v>
      </c>
      <c r="E238" s="97">
        <f>HEX2DEC(D238)*C236</f>
        <v>4.8828125008000003E-4</v>
      </c>
      <c r="F238" s="43">
        <f>E238</f>
        <v>4.8828125008000003E-4</v>
      </c>
      <c r="G238" s="37" t="s">
        <v>6</v>
      </c>
      <c r="H238" s="126">
        <f>F238*25.4</f>
        <v>1.2402343752032001E-2</v>
      </c>
      <c r="I238" s="66" t="s">
        <v>10</v>
      </c>
    </row>
    <row r="239" spans="1:9" x14ac:dyDescent="0.35">
      <c r="A239" s="164" t="s">
        <v>247</v>
      </c>
      <c r="B239" s="25"/>
      <c r="C239" s="26" t="s">
        <v>5</v>
      </c>
      <c r="D239" s="28" t="s">
        <v>8</v>
      </c>
      <c r="E239" s="97">
        <f>HEX2DEC(D239)*C236</f>
        <v>5.1879882821000004E-4</v>
      </c>
      <c r="F239" s="43">
        <f>E239</f>
        <v>5.1879882821000004E-4</v>
      </c>
      <c r="G239" s="37" t="s">
        <v>6</v>
      </c>
      <c r="H239" s="126">
        <f>F239*25.4</f>
        <v>1.3177490236534001E-2</v>
      </c>
      <c r="I239" s="89" t="s">
        <v>10</v>
      </c>
    </row>
    <row r="240" spans="1:9" ht="13.15" thickBot="1" x14ac:dyDescent="0.4">
      <c r="A240" s="165" t="s">
        <v>247</v>
      </c>
      <c r="B240" s="14"/>
      <c r="C240" s="14"/>
      <c r="D240" s="67" t="s">
        <v>38</v>
      </c>
      <c r="E240" s="140">
        <f>HEX2DEC(D240)*C236</f>
        <v>1.99996948274955</v>
      </c>
      <c r="F240" s="143">
        <f>E240</f>
        <v>1.99996948274955</v>
      </c>
      <c r="G240" s="77" t="s">
        <v>6</v>
      </c>
      <c r="H240" s="127">
        <f>F240*25.4</f>
        <v>50.799224861838567</v>
      </c>
      <c r="I240" s="50" t="s">
        <v>10</v>
      </c>
    </row>
    <row r="241" spans="1:9" x14ac:dyDescent="0.35">
      <c r="A241" s="70" t="s">
        <v>248</v>
      </c>
      <c r="B241" s="16" t="s">
        <v>181</v>
      </c>
      <c r="C241" s="16" t="s">
        <v>15</v>
      </c>
      <c r="D241" s="10" t="s">
        <v>50</v>
      </c>
      <c r="E241" s="71"/>
      <c r="F241" s="10" t="s">
        <v>14</v>
      </c>
      <c r="G241" s="174" t="s">
        <v>235</v>
      </c>
      <c r="H241" s="65"/>
      <c r="I241" s="51"/>
    </row>
    <row r="242" spans="1:9" x14ac:dyDescent="0.35">
      <c r="A242" s="166" t="s">
        <v>248</v>
      </c>
      <c r="B242" s="27"/>
      <c r="C242" s="12" t="s">
        <v>11</v>
      </c>
      <c r="D242" s="28" t="s">
        <v>37</v>
      </c>
      <c r="E242" s="41">
        <f>HEX2DEC(D242)*C241</f>
        <v>0</v>
      </c>
      <c r="F242" s="141">
        <f>E242</f>
        <v>0</v>
      </c>
      <c r="G242" s="37" t="s">
        <v>235</v>
      </c>
      <c r="H242" s="41"/>
      <c r="I242" s="66"/>
    </row>
    <row r="243" spans="1:9" x14ac:dyDescent="0.35">
      <c r="A243" s="164" t="s">
        <v>248</v>
      </c>
      <c r="B243" s="25"/>
      <c r="C243" s="26" t="s">
        <v>182</v>
      </c>
      <c r="D243" s="28" t="s">
        <v>12</v>
      </c>
      <c r="E243" s="41">
        <f>HEX2DEC(D243)*C241</f>
        <v>1</v>
      </c>
      <c r="F243" s="141">
        <f>E243</f>
        <v>1</v>
      </c>
      <c r="G243" s="37" t="s">
        <v>235</v>
      </c>
      <c r="H243" s="74"/>
      <c r="I243" s="66"/>
    </row>
    <row r="244" spans="1:9" x14ac:dyDescent="0.35">
      <c r="A244" s="164" t="s">
        <v>248</v>
      </c>
      <c r="B244" s="25"/>
      <c r="C244" s="26" t="s">
        <v>183</v>
      </c>
      <c r="D244" s="28" t="s">
        <v>13</v>
      </c>
      <c r="E244" s="41">
        <f>HEX2DEC(D244)*C241</f>
        <v>14.35888671875</v>
      </c>
      <c r="F244" s="141">
        <f>E244</f>
        <v>14.35888671875</v>
      </c>
      <c r="G244" s="37" t="s">
        <v>235</v>
      </c>
      <c r="H244" s="74"/>
      <c r="I244" s="89"/>
    </row>
    <row r="245" spans="1:9" ht="13.15" thickBot="1" x14ac:dyDescent="0.4">
      <c r="A245" s="165" t="s">
        <v>248</v>
      </c>
      <c r="B245" s="14"/>
      <c r="C245" s="14" t="s">
        <v>185</v>
      </c>
      <c r="D245" s="67" t="s">
        <v>38</v>
      </c>
      <c r="E245" s="77">
        <f>HEX2DEC(D245)*C241</f>
        <v>15.999755859375</v>
      </c>
      <c r="F245" s="142">
        <f>E245</f>
        <v>15.999755859375</v>
      </c>
      <c r="G245" s="77" t="s">
        <v>235</v>
      </c>
      <c r="H245" s="78"/>
      <c r="I245" s="50"/>
    </row>
    <row r="246" spans="1:9" x14ac:dyDescent="0.35">
      <c r="A246" s="64" t="s">
        <v>249</v>
      </c>
      <c r="B246" s="8" t="s">
        <v>76</v>
      </c>
      <c r="C246" s="9" t="s">
        <v>176</v>
      </c>
      <c r="D246" s="10" t="s">
        <v>50</v>
      </c>
      <c r="E246" s="30"/>
      <c r="F246" s="10" t="s">
        <v>39</v>
      </c>
      <c r="G246" s="174" t="s">
        <v>19</v>
      </c>
      <c r="H246" s="65"/>
      <c r="I246" s="51" t="s">
        <v>20</v>
      </c>
    </row>
    <row r="247" spans="1:9" x14ac:dyDescent="0.35">
      <c r="A247" s="166" t="s">
        <v>249</v>
      </c>
      <c r="B247" s="27"/>
      <c r="C247" s="26" t="s">
        <v>17</v>
      </c>
      <c r="D247" s="28" t="s">
        <v>37</v>
      </c>
      <c r="E247" s="40">
        <f>HEX2DEC(D247)*C246</f>
        <v>0</v>
      </c>
      <c r="F247" s="40">
        <f>E247</f>
        <v>0</v>
      </c>
      <c r="G247" s="35" t="s">
        <v>19</v>
      </c>
      <c r="H247" s="40" t="s">
        <v>21</v>
      </c>
      <c r="I247" s="66"/>
    </row>
    <row r="248" spans="1:9" x14ac:dyDescent="0.35">
      <c r="A248" s="168" t="s">
        <v>249</v>
      </c>
      <c r="B248" s="11"/>
      <c r="C248" s="26" t="s">
        <v>80</v>
      </c>
      <c r="D248" s="28" t="s">
        <v>93</v>
      </c>
      <c r="E248" s="40">
        <f>HEX2DEC(D248)*C246</f>
        <v>60</v>
      </c>
      <c r="F248" s="40">
        <f>E248</f>
        <v>60</v>
      </c>
      <c r="G248" s="35" t="s">
        <v>19</v>
      </c>
      <c r="H248" s="40" t="s">
        <v>22</v>
      </c>
      <c r="I248" s="66"/>
    </row>
    <row r="249" spans="1:9" x14ac:dyDescent="0.35">
      <c r="A249" s="168" t="s">
        <v>249</v>
      </c>
      <c r="B249" s="12"/>
      <c r="C249" s="26" t="s">
        <v>85</v>
      </c>
      <c r="D249" s="13" t="s">
        <v>95</v>
      </c>
      <c r="E249" s="40">
        <f>HEX2DEC(D249)*C246</f>
        <v>3600</v>
      </c>
      <c r="F249" s="40">
        <f>E249</f>
        <v>3600</v>
      </c>
      <c r="G249" s="35" t="s">
        <v>19</v>
      </c>
      <c r="H249" s="40" t="s">
        <v>23</v>
      </c>
      <c r="I249" s="66"/>
    </row>
    <row r="250" spans="1:9" ht="13.15" thickBot="1" x14ac:dyDescent="0.4">
      <c r="A250" s="165" t="s">
        <v>249</v>
      </c>
      <c r="B250" s="14"/>
      <c r="C250" s="14" t="s">
        <v>18</v>
      </c>
      <c r="D250" s="67" t="s">
        <v>38</v>
      </c>
      <c r="E250" s="103">
        <f>HEX2DEC(D250)*C246</f>
        <v>65535</v>
      </c>
      <c r="F250" s="103">
        <f>E250</f>
        <v>65535</v>
      </c>
      <c r="G250" s="68" t="s">
        <v>19</v>
      </c>
      <c r="H250" s="69" t="s">
        <v>24</v>
      </c>
      <c r="I250" s="50"/>
    </row>
    <row r="251" spans="1:9" x14ac:dyDescent="0.35">
      <c r="A251" s="70" t="s">
        <v>250</v>
      </c>
      <c r="B251" s="16" t="s">
        <v>76</v>
      </c>
      <c r="C251" s="16" t="s">
        <v>173</v>
      </c>
      <c r="D251" s="10" t="s">
        <v>50</v>
      </c>
      <c r="E251" s="71"/>
      <c r="F251" s="86" t="s">
        <v>41</v>
      </c>
      <c r="G251" s="172" t="s">
        <v>231</v>
      </c>
      <c r="H251" s="96" t="s">
        <v>359</v>
      </c>
      <c r="I251" s="51"/>
    </row>
    <row r="252" spans="1:9" x14ac:dyDescent="0.35">
      <c r="A252" s="166" t="s">
        <v>250</v>
      </c>
      <c r="B252" s="27"/>
      <c r="C252" s="27" t="s">
        <v>355</v>
      </c>
      <c r="D252" s="28" t="s">
        <v>37</v>
      </c>
      <c r="E252" s="40">
        <f>HEX2DEC(D252)*C251</f>
        <v>0</v>
      </c>
      <c r="F252" s="41">
        <f>E252/1000</f>
        <v>0</v>
      </c>
      <c r="G252" s="13" t="s">
        <v>231</v>
      </c>
      <c r="H252" s="90" t="s">
        <v>78</v>
      </c>
      <c r="I252" s="66" t="s">
        <v>359</v>
      </c>
    </row>
    <row r="253" spans="1:9" x14ac:dyDescent="0.35">
      <c r="A253" s="168" t="s">
        <v>250</v>
      </c>
      <c r="B253" s="12"/>
      <c r="C253" s="12" t="s">
        <v>80</v>
      </c>
      <c r="D253" s="13" t="s">
        <v>73</v>
      </c>
      <c r="E253" s="40">
        <f>HEX2DEC(D253)*C251</f>
        <v>327680</v>
      </c>
      <c r="F253" s="41">
        <f>E253/1000</f>
        <v>327.68</v>
      </c>
      <c r="G253" s="13" t="s">
        <v>231</v>
      </c>
      <c r="H253" s="90" t="s">
        <v>356</v>
      </c>
      <c r="I253" s="66" t="s">
        <v>359</v>
      </c>
    </row>
    <row r="254" spans="1:9" x14ac:dyDescent="0.35">
      <c r="A254" s="168" t="s">
        <v>250</v>
      </c>
      <c r="B254" s="12"/>
      <c r="C254" s="12" t="s">
        <v>82</v>
      </c>
      <c r="D254" s="28" t="s">
        <v>83</v>
      </c>
      <c r="E254" s="40">
        <f>HEX2DEC(D254)*C251</f>
        <v>600000</v>
      </c>
      <c r="F254" s="41">
        <f>E254/1000</f>
        <v>600</v>
      </c>
      <c r="G254" s="13" t="s">
        <v>231</v>
      </c>
      <c r="H254" s="90" t="s">
        <v>357</v>
      </c>
      <c r="I254" s="66" t="s">
        <v>359</v>
      </c>
    </row>
    <row r="255" spans="1:9" ht="13.15" thickBot="1" x14ac:dyDescent="0.4">
      <c r="A255" s="165" t="s">
        <v>250</v>
      </c>
      <c r="B255" s="14"/>
      <c r="C255" s="98" t="s">
        <v>85</v>
      </c>
      <c r="D255" s="15" t="s">
        <v>38</v>
      </c>
      <c r="E255" s="68">
        <f>HEX2DEC(D255)*C251</f>
        <v>655350</v>
      </c>
      <c r="F255" s="77">
        <f>E255/1000</f>
        <v>655.35</v>
      </c>
      <c r="G255" s="67" t="s">
        <v>231</v>
      </c>
      <c r="H255" s="91" t="s">
        <v>358</v>
      </c>
      <c r="I255" s="50" t="s">
        <v>359</v>
      </c>
    </row>
    <row r="256" spans="1:9" x14ac:dyDescent="0.35">
      <c r="A256" s="70" t="s">
        <v>251</v>
      </c>
      <c r="B256" s="20" t="s">
        <v>360</v>
      </c>
      <c r="C256" s="16" t="s">
        <v>52</v>
      </c>
      <c r="D256" s="10" t="s">
        <v>50</v>
      </c>
      <c r="E256" s="71"/>
      <c r="F256" s="86" t="s">
        <v>41</v>
      </c>
      <c r="G256" s="172" t="s">
        <v>365</v>
      </c>
      <c r="H256" s="96" t="s">
        <v>283</v>
      </c>
      <c r="I256" s="173" t="s">
        <v>366</v>
      </c>
    </row>
    <row r="257" spans="1:9" x14ac:dyDescent="0.35">
      <c r="A257" s="166" t="s">
        <v>251</v>
      </c>
      <c r="B257" s="29"/>
      <c r="C257" s="29" t="s">
        <v>361</v>
      </c>
      <c r="D257" s="28" t="s">
        <v>37</v>
      </c>
      <c r="E257" s="40">
        <f>HEX2DEC(D257)*C256</f>
        <v>0</v>
      </c>
      <c r="F257" s="41">
        <f>E257</f>
        <v>0</v>
      </c>
      <c r="G257" s="13" t="s">
        <v>365</v>
      </c>
      <c r="H257" s="94">
        <f>F257/453.5924</f>
        <v>0</v>
      </c>
      <c r="I257" s="66" t="s">
        <v>366</v>
      </c>
    </row>
    <row r="258" spans="1:9" x14ac:dyDescent="0.35">
      <c r="A258" s="168" t="s">
        <v>251</v>
      </c>
      <c r="B258" s="11"/>
      <c r="C258" s="27"/>
      <c r="D258" s="28" t="s">
        <v>363</v>
      </c>
      <c r="E258" s="41">
        <f>HEX2DEC(D258)*C256</f>
        <v>0.82000000000000006</v>
      </c>
      <c r="F258" s="41">
        <f>E258</f>
        <v>0.82000000000000006</v>
      </c>
      <c r="G258" s="13" t="s">
        <v>365</v>
      </c>
      <c r="H258" s="94">
        <f>F258/453.5924</f>
        <v>1.8077904303511259E-3</v>
      </c>
      <c r="I258" s="66" t="s">
        <v>366</v>
      </c>
    </row>
    <row r="259" spans="1:9" x14ac:dyDescent="0.35">
      <c r="A259" s="168" t="s">
        <v>251</v>
      </c>
      <c r="B259" s="11"/>
      <c r="C259" s="12" t="s">
        <v>362</v>
      </c>
      <c r="D259" s="28" t="s">
        <v>364</v>
      </c>
      <c r="E259" s="41">
        <f>HEX2DEC(D259)*C256</f>
        <v>36.17</v>
      </c>
      <c r="F259" s="41">
        <f>E259</f>
        <v>36.17</v>
      </c>
      <c r="G259" s="13" t="s">
        <v>365</v>
      </c>
      <c r="H259" s="94">
        <f>F259/453.5924</f>
        <v>7.974119495829296E-2</v>
      </c>
      <c r="I259" s="66" t="s">
        <v>366</v>
      </c>
    </row>
    <row r="260" spans="1:9" ht="13.15" thickBot="1" x14ac:dyDescent="0.4">
      <c r="A260" s="165" t="s">
        <v>251</v>
      </c>
      <c r="B260" s="21"/>
      <c r="C260" s="14" t="s">
        <v>367</v>
      </c>
      <c r="D260" s="67" t="s">
        <v>38</v>
      </c>
      <c r="E260" s="77">
        <f>HEX2DEC(D260)*C256</f>
        <v>655.35</v>
      </c>
      <c r="F260" s="77">
        <f>E260</f>
        <v>655.35</v>
      </c>
      <c r="G260" s="15" t="s">
        <v>365</v>
      </c>
      <c r="H260" s="102">
        <f>F260/453.5924</f>
        <v>1.444799339671476</v>
      </c>
      <c r="I260" s="93" t="s">
        <v>366</v>
      </c>
    </row>
    <row r="261" spans="1:9" x14ac:dyDescent="0.35">
      <c r="A261" s="70" t="s">
        <v>252</v>
      </c>
      <c r="B261" s="20" t="s">
        <v>360</v>
      </c>
      <c r="C261" s="16" t="s">
        <v>51</v>
      </c>
      <c r="D261" s="10" t="s">
        <v>50</v>
      </c>
      <c r="E261" s="71"/>
      <c r="F261" s="86" t="s">
        <v>40</v>
      </c>
      <c r="G261" s="172" t="s">
        <v>365</v>
      </c>
      <c r="H261" s="96" t="s">
        <v>42</v>
      </c>
      <c r="I261" s="173" t="s">
        <v>366</v>
      </c>
    </row>
    <row r="262" spans="1:9" x14ac:dyDescent="0.35">
      <c r="A262" s="166" t="s">
        <v>252</v>
      </c>
      <c r="B262" s="29"/>
      <c r="C262" s="29" t="s">
        <v>368</v>
      </c>
      <c r="D262" s="28" t="s">
        <v>37</v>
      </c>
      <c r="E262" s="40">
        <f>HEX2DEC(D262)*C261</f>
        <v>0</v>
      </c>
      <c r="F262" s="73">
        <f>E262</f>
        <v>0</v>
      </c>
      <c r="G262" s="13" t="s">
        <v>365</v>
      </c>
      <c r="H262" s="94">
        <f>F262/453.5924</f>
        <v>0</v>
      </c>
      <c r="I262" s="66" t="s">
        <v>366</v>
      </c>
    </row>
    <row r="263" spans="1:9" x14ac:dyDescent="0.35">
      <c r="A263" s="168" t="s">
        <v>252</v>
      </c>
      <c r="B263" s="11"/>
      <c r="C263" s="27"/>
      <c r="D263" s="28" t="s">
        <v>363</v>
      </c>
      <c r="E263" s="73">
        <f>HEX2DEC(D263)*C261</f>
        <v>8.2000000000000011</v>
      </c>
      <c r="F263" s="73">
        <f>E263</f>
        <v>8.2000000000000011</v>
      </c>
      <c r="G263" s="13" t="s">
        <v>365</v>
      </c>
      <c r="H263" s="94">
        <f>F263/453.5924</f>
        <v>1.807790430351126E-2</v>
      </c>
      <c r="I263" s="66" t="s">
        <v>366</v>
      </c>
    </row>
    <row r="264" spans="1:9" x14ac:dyDescent="0.35">
      <c r="A264" s="168" t="s">
        <v>252</v>
      </c>
      <c r="B264" s="11"/>
      <c r="C264" s="12" t="s">
        <v>362</v>
      </c>
      <c r="D264" s="28" t="s">
        <v>364</v>
      </c>
      <c r="E264" s="73">
        <f>HEX2DEC(D264)*C261</f>
        <v>361.70000000000005</v>
      </c>
      <c r="F264" s="73">
        <f>E264</f>
        <v>361.70000000000005</v>
      </c>
      <c r="G264" s="13" t="s">
        <v>365</v>
      </c>
      <c r="H264" s="94">
        <f>F264/453.5924</f>
        <v>0.7974119495829296</v>
      </c>
      <c r="I264" s="66" t="s">
        <v>366</v>
      </c>
    </row>
    <row r="265" spans="1:9" ht="13.15" thickBot="1" x14ac:dyDescent="0.4">
      <c r="A265" s="165" t="s">
        <v>252</v>
      </c>
      <c r="B265" s="21"/>
      <c r="C265" s="14" t="s">
        <v>367</v>
      </c>
      <c r="D265" s="67" t="s">
        <v>38</v>
      </c>
      <c r="E265" s="75">
        <f>HEX2DEC(D265)*C261</f>
        <v>6553.5</v>
      </c>
      <c r="F265" s="75">
        <f>E265</f>
        <v>6553.5</v>
      </c>
      <c r="G265" s="15" t="s">
        <v>365</v>
      </c>
      <c r="H265" s="102">
        <f>F265/453.5924</f>
        <v>14.447993396714759</v>
      </c>
      <c r="I265" s="93" t="s">
        <v>366</v>
      </c>
    </row>
    <row r="266" spans="1:9" x14ac:dyDescent="0.35">
      <c r="A266" s="70" t="s">
        <v>253</v>
      </c>
      <c r="B266" s="20" t="s">
        <v>360</v>
      </c>
      <c r="C266" s="16" t="s">
        <v>176</v>
      </c>
      <c r="D266" s="10" t="s">
        <v>50</v>
      </c>
      <c r="E266" s="71"/>
      <c r="F266" s="86" t="s">
        <v>39</v>
      </c>
      <c r="G266" s="172" t="s">
        <v>365</v>
      </c>
      <c r="H266" s="96" t="s">
        <v>41</v>
      </c>
      <c r="I266" s="173" t="s">
        <v>366</v>
      </c>
    </row>
    <row r="267" spans="1:9" x14ac:dyDescent="0.35">
      <c r="A267" s="166" t="s">
        <v>253</v>
      </c>
      <c r="B267" s="29"/>
      <c r="C267" s="29" t="s">
        <v>369</v>
      </c>
      <c r="D267" s="28" t="s">
        <v>37</v>
      </c>
      <c r="E267" s="40">
        <f>HEX2DEC(D267)*C266</f>
        <v>0</v>
      </c>
      <c r="F267" s="40">
        <f>E267</f>
        <v>0</v>
      </c>
      <c r="G267" s="13" t="s">
        <v>365</v>
      </c>
      <c r="H267" s="87">
        <f>F267/453.5924</f>
        <v>0</v>
      </c>
      <c r="I267" s="66" t="s">
        <v>366</v>
      </c>
    </row>
    <row r="268" spans="1:9" x14ac:dyDescent="0.35">
      <c r="A268" s="168" t="s">
        <v>253</v>
      </c>
      <c r="B268" s="11"/>
      <c r="C268" s="27"/>
      <c r="D268" s="28" t="s">
        <v>363</v>
      </c>
      <c r="E268" s="40">
        <f>HEX2DEC(D268)*C266</f>
        <v>82</v>
      </c>
      <c r="F268" s="40">
        <f>E268</f>
        <v>82</v>
      </c>
      <c r="G268" s="13" t="s">
        <v>365</v>
      </c>
      <c r="H268" s="87">
        <f>F268/453.5924</f>
        <v>0.18077904303511258</v>
      </c>
      <c r="I268" s="66" t="s">
        <v>366</v>
      </c>
    </row>
    <row r="269" spans="1:9" x14ac:dyDescent="0.35">
      <c r="A269" s="168" t="s">
        <v>253</v>
      </c>
      <c r="B269" s="11"/>
      <c r="C269" s="12" t="s">
        <v>362</v>
      </c>
      <c r="D269" s="28" t="s">
        <v>364</v>
      </c>
      <c r="E269" s="40">
        <f>HEX2DEC(D269)*C266</f>
        <v>3617</v>
      </c>
      <c r="F269" s="40">
        <f>E269</f>
        <v>3617</v>
      </c>
      <c r="G269" s="13" t="s">
        <v>365</v>
      </c>
      <c r="H269" s="87">
        <f>F269/453.5924</f>
        <v>7.9741194958292949</v>
      </c>
      <c r="I269" s="66" t="s">
        <v>366</v>
      </c>
    </row>
    <row r="270" spans="1:9" ht="13.15" thickBot="1" x14ac:dyDescent="0.4">
      <c r="A270" s="165" t="s">
        <v>253</v>
      </c>
      <c r="B270" s="21"/>
      <c r="C270" s="14" t="s">
        <v>367</v>
      </c>
      <c r="D270" s="67" t="s">
        <v>38</v>
      </c>
      <c r="E270" s="68">
        <f>HEX2DEC(D270)*C266</f>
        <v>65535</v>
      </c>
      <c r="F270" s="68">
        <f>E270</f>
        <v>65535</v>
      </c>
      <c r="G270" s="15" t="s">
        <v>365</v>
      </c>
      <c r="H270" s="95">
        <f>F270/453.5924</f>
        <v>144.47993396714759</v>
      </c>
      <c r="I270" s="93" t="s">
        <v>366</v>
      </c>
    </row>
    <row r="271" spans="1:9" x14ac:dyDescent="0.35">
      <c r="A271" s="70" t="s">
        <v>254</v>
      </c>
      <c r="B271" s="16" t="s">
        <v>348</v>
      </c>
      <c r="C271" s="16" t="s">
        <v>70</v>
      </c>
      <c r="D271" s="10" t="s">
        <v>50</v>
      </c>
      <c r="E271" s="71"/>
      <c r="F271" s="86" t="s">
        <v>41</v>
      </c>
      <c r="G271" s="172" t="s">
        <v>350</v>
      </c>
      <c r="H271" s="86"/>
      <c r="I271" s="173" t="s">
        <v>350</v>
      </c>
    </row>
    <row r="272" spans="1:9" x14ac:dyDescent="0.35">
      <c r="A272" s="166" t="s">
        <v>254</v>
      </c>
      <c r="B272" s="27"/>
      <c r="C272" s="27" t="s">
        <v>349</v>
      </c>
      <c r="D272" s="28" t="s">
        <v>37</v>
      </c>
      <c r="E272" s="40">
        <f>HEX2DEC(D272)*C271</f>
        <v>0</v>
      </c>
      <c r="F272" s="41">
        <f t="shared" ref="F272:F278" si="4">E272-327.68</f>
        <v>-327.68</v>
      </c>
      <c r="G272" s="13" t="s">
        <v>350</v>
      </c>
      <c r="H272" s="135">
        <f t="shared" ref="H272:H278" si="5">F272/100</f>
        <v>-3.2768000000000002</v>
      </c>
      <c r="I272" s="130" t="s">
        <v>350</v>
      </c>
    </row>
    <row r="273" spans="1:9" x14ac:dyDescent="0.35">
      <c r="A273" s="168" t="s">
        <v>254</v>
      </c>
      <c r="B273" s="11"/>
      <c r="C273" s="12"/>
      <c r="D273" s="13" t="s">
        <v>370</v>
      </c>
      <c r="E273" s="41">
        <f>HEX2DEC(D273)*C271</f>
        <v>227.68</v>
      </c>
      <c r="F273" s="41">
        <f t="shared" si="4"/>
        <v>-100</v>
      </c>
      <c r="G273" s="13" t="s">
        <v>350</v>
      </c>
      <c r="H273" s="135">
        <f t="shared" si="5"/>
        <v>-1</v>
      </c>
      <c r="I273" s="130" t="s">
        <v>350</v>
      </c>
    </row>
    <row r="274" spans="1:9" x14ac:dyDescent="0.35">
      <c r="A274" s="168" t="s">
        <v>254</v>
      </c>
      <c r="B274" s="11"/>
      <c r="C274" s="12"/>
      <c r="D274" s="13" t="s">
        <v>371</v>
      </c>
      <c r="E274" s="41">
        <f>HEX2DEC(D274)*C271</f>
        <v>327.67</v>
      </c>
      <c r="F274" s="41">
        <f t="shared" si="4"/>
        <v>-9.9999999999909051E-3</v>
      </c>
      <c r="G274" s="13" t="s">
        <v>350</v>
      </c>
      <c r="H274" s="135">
        <f t="shared" si="5"/>
        <v>-9.9999999999909054E-5</v>
      </c>
      <c r="I274" s="130" t="s">
        <v>350</v>
      </c>
    </row>
    <row r="275" spans="1:9" x14ac:dyDescent="0.35">
      <c r="A275" s="168" t="s">
        <v>254</v>
      </c>
      <c r="B275" s="11"/>
      <c r="C275" s="12"/>
      <c r="D275" s="13" t="s">
        <v>73</v>
      </c>
      <c r="E275" s="41">
        <f>HEX2DEC(D275)*C271</f>
        <v>327.68</v>
      </c>
      <c r="F275" s="41">
        <f t="shared" si="4"/>
        <v>0</v>
      </c>
      <c r="G275" s="13" t="s">
        <v>350</v>
      </c>
      <c r="H275" s="135">
        <f t="shared" si="5"/>
        <v>0</v>
      </c>
      <c r="I275" s="130" t="s">
        <v>350</v>
      </c>
    </row>
    <row r="276" spans="1:9" x14ac:dyDescent="0.35">
      <c r="A276" s="168" t="s">
        <v>254</v>
      </c>
      <c r="B276" s="11"/>
      <c r="C276" s="12"/>
      <c r="D276" s="13" t="s">
        <v>372</v>
      </c>
      <c r="E276" s="41">
        <f>HEX2DEC(D276)*C271</f>
        <v>327.69</v>
      </c>
      <c r="F276" s="41">
        <f t="shared" si="4"/>
        <v>9.9999999999909051E-3</v>
      </c>
      <c r="G276" s="13" t="s">
        <v>350</v>
      </c>
      <c r="H276" s="135">
        <f t="shared" si="5"/>
        <v>9.9999999999909054E-5</v>
      </c>
      <c r="I276" s="130" t="s">
        <v>350</v>
      </c>
    </row>
    <row r="277" spans="1:9" x14ac:dyDescent="0.35">
      <c r="A277" s="168" t="s">
        <v>254</v>
      </c>
      <c r="B277" s="12"/>
      <c r="C277" s="12"/>
      <c r="D277" s="88" t="s">
        <v>373</v>
      </c>
      <c r="E277" s="41">
        <f>HEX2DEC(D277)*C271</f>
        <v>427.68</v>
      </c>
      <c r="F277" s="41">
        <f t="shared" si="4"/>
        <v>100</v>
      </c>
      <c r="G277" s="13" t="s">
        <v>350</v>
      </c>
      <c r="H277" s="135">
        <f t="shared" si="5"/>
        <v>1</v>
      </c>
      <c r="I277" s="130" t="s">
        <v>350</v>
      </c>
    </row>
    <row r="278" spans="1:9" ht="13.15" thickBot="1" x14ac:dyDescent="0.4">
      <c r="A278" s="165" t="s">
        <v>254</v>
      </c>
      <c r="B278" s="14"/>
      <c r="C278" s="42"/>
      <c r="D278" s="15" t="s">
        <v>38</v>
      </c>
      <c r="E278" s="77">
        <f>HEX2DEC(D278)*C271</f>
        <v>655.35</v>
      </c>
      <c r="F278" s="77">
        <f t="shared" si="4"/>
        <v>327.67</v>
      </c>
      <c r="G278" s="15" t="s">
        <v>350</v>
      </c>
      <c r="H278" s="136">
        <f t="shared" si="5"/>
        <v>3.2766999999999999</v>
      </c>
      <c r="I278" s="133" t="s">
        <v>350</v>
      </c>
    </row>
    <row r="279" spans="1:9" x14ac:dyDescent="0.35">
      <c r="A279" s="70" t="s">
        <v>255</v>
      </c>
      <c r="B279" s="20" t="s">
        <v>360</v>
      </c>
      <c r="C279" s="16" t="s">
        <v>53</v>
      </c>
      <c r="D279" s="10" t="s">
        <v>50</v>
      </c>
      <c r="E279" s="71"/>
      <c r="F279" s="86" t="s">
        <v>42</v>
      </c>
      <c r="G279" s="172" t="s">
        <v>365</v>
      </c>
      <c r="H279" s="96" t="s">
        <v>276</v>
      </c>
      <c r="I279" s="173" t="s">
        <v>366</v>
      </c>
    </row>
    <row r="280" spans="1:9" x14ac:dyDescent="0.35">
      <c r="A280" s="166" t="s">
        <v>255</v>
      </c>
      <c r="B280" s="29"/>
      <c r="C280" s="29" t="s">
        <v>374</v>
      </c>
      <c r="D280" s="28" t="s">
        <v>37</v>
      </c>
      <c r="E280" s="39">
        <f>HEX2DEC(D280)*C279</f>
        <v>0</v>
      </c>
      <c r="F280" s="39">
        <f>E280</f>
        <v>0</v>
      </c>
      <c r="G280" s="13" t="s">
        <v>365</v>
      </c>
      <c r="H280" s="128">
        <f>F280/453.5924</f>
        <v>0</v>
      </c>
      <c r="I280" s="66" t="s">
        <v>366</v>
      </c>
    </row>
    <row r="281" spans="1:9" x14ac:dyDescent="0.35">
      <c r="A281" s="168" t="s">
        <v>255</v>
      </c>
      <c r="B281" s="11"/>
      <c r="C281" s="27"/>
      <c r="D281" s="28" t="s">
        <v>363</v>
      </c>
      <c r="E281" s="39">
        <f>HEX2DEC(D281)*C279</f>
        <v>8.2000000000000003E-2</v>
      </c>
      <c r="F281" s="39">
        <f>E281</f>
        <v>8.2000000000000003E-2</v>
      </c>
      <c r="G281" s="13" t="s">
        <v>365</v>
      </c>
      <c r="H281" s="128">
        <f>F281/453.5924</f>
        <v>1.8077904303511258E-4</v>
      </c>
      <c r="I281" s="66" t="s">
        <v>366</v>
      </c>
    </row>
    <row r="282" spans="1:9" x14ac:dyDescent="0.35">
      <c r="A282" s="168" t="s">
        <v>255</v>
      </c>
      <c r="B282" s="11"/>
      <c r="C282" s="12" t="s">
        <v>362</v>
      </c>
      <c r="D282" s="28" t="s">
        <v>364</v>
      </c>
      <c r="E282" s="39">
        <f>HEX2DEC(D282)*C279</f>
        <v>3.617</v>
      </c>
      <c r="F282" s="39">
        <f>E282</f>
        <v>3.617</v>
      </c>
      <c r="G282" s="13" t="s">
        <v>365</v>
      </c>
      <c r="H282" s="128">
        <f>F282/453.5924</f>
        <v>7.974119495829296E-3</v>
      </c>
      <c r="I282" s="66" t="s">
        <v>366</v>
      </c>
    </row>
    <row r="283" spans="1:9" ht="13.15" thickBot="1" x14ac:dyDescent="0.4">
      <c r="A283" s="165" t="s">
        <v>255</v>
      </c>
      <c r="B283" s="21"/>
      <c r="C283" s="14" t="s">
        <v>367</v>
      </c>
      <c r="D283" s="67" t="s">
        <v>38</v>
      </c>
      <c r="E283" s="79">
        <f>HEX2DEC(D283)*C279</f>
        <v>65.534999999999997</v>
      </c>
      <c r="F283" s="79">
        <f>E283</f>
        <v>65.534999999999997</v>
      </c>
      <c r="G283" s="15" t="s">
        <v>365</v>
      </c>
      <c r="H283" s="145">
        <f>F283/453.5924</f>
        <v>0.14447993396714759</v>
      </c>
      <c r="I283" s="93" t="s">
        <v>366</v>
      </c>
    </row>
    <row r="284" spans="1:9" x14ac:dyDescent="0.35">
      <c r="A284" s="70" t="s">
        <v>256</v>
      </c>
      <c r="B284" s="20" t="s">
        <v>360</v>
      </c>
      <c r="C284" s="16" t="s">
        <v>375</v>
      </c>
      <c r="D284" s="10" t="s">
        <v>50</v>
      </c>
      <c r="E284" s="146"/>
      <c r="F284" s="86" t="s">
        <v>276</v>
      </c>
      <c r="G284" s="172" t="s">
        <v>365</v>
      </c>
      <c r="H284" s="96" t="s">
        <v>66</v>
      </c>
      <c r="I284" s="173" t="s">
        <v>366</v>
      </c>
    </row>
    <row r="285" spans="1:9" x14ac:dyDescent="0.35">
      <c r="A285" s="166" t="s">
        <v>256</v>
      </c>
      <c r="B285" s="29"/>
      <c r="C285" s="29" t="s">
        <v>376</v>
      </c>
      <c r="D285" s="28" t="s">
        <v>37</v>
      </c>
      <c r="E285" s="119">
        <f>HEX2DEC(D285)*C284</f>
        <v>0</v>
      </c>
      <c r="F285" s="119">
        <f>E285</f>
        <v>0</v>
      </c>
      <c r="G285" s="13" t="s">
        <v>365</v>
      </c>
      <c r="H285" s="147">
        <f>F285/453.5924</f>
        <v>0</v>
      </c>
      <c r="I285" s="66" t="s">
        <v>366</v>
      </c>
    </row>
    <row r="286" spans="1:9" x14ac:dyDescent="0.35">
      <c r="A286" s="168" t="s">
        <v>256</v>
      </c>
      <c r="B286" s="11"/>
      <c r="C286" s="27"/>
      <c r="D286" s="28" t="s">
        <v>363</v>
      </c>
      <c r="E286" s="119">
        <f>HEX2DEC(D286)*C284</f>
        <v>8.2000000000000007E-3</v>
      </c>
      <c r="F286" s="119">
        <f>E286</f>
        <v>8.2000000000000007E-3</v>
      </c>
      <c r="G286" s="13" t="s">
        <v>365</v>
      </c>
      <c r="H286" s="147">
        <f>F286/453.5924</f>
        <v>1.8077904303511261E-5</v>
      </c>
      <c r="I286" s="66" t="s">
        <v>366</v>
      </c>
    </row>
    <row r="287" spans="1:9" x14ac:dyDescent="0.35">
      <c r="A287" s="168" t="s">
        <v>256</v>
      </c>
      <c r="B287" s="11"/>
      <c r="C287" s="12" t="s">
        <v>362</v>
      </c>
      <c r="D287" s="28" t="s">
        <v>364</v>
      </c>
      <c r="E287" s="119">
        <f>HEX2DEC(D287)*C284</f>
        <v>0.36170000000000002</v>
      </c>
      <c r="F287" s="119">
        <f>E287</f>
        <v>0.36170000000000002</v>
      </c>
      <c r="G287" s="13" t="s">
        <v>365</v>
      </c>
      <c r="H287" s="147">
        <f>F287/453.5924</f>
        <v>7.9741194958292958E-4</v>
      </c>
      <c r="I287" s="66" t="s">
        <v>366</v>
      </c>
    </row>
    <row r="288" spans="1:9" ht="13.15" thickBot="1" x14ac:dyDescent="0.4">
      <c r="A288" s="165" t="s">
        <v>256</v>
      </c>
      <c r="B288" s="21"/>
      <c r="C288" s="14" t="s">
        <v>367</v>
      </c>
      <c r="D288" s="67" t="s">
        <v>38</v>
      </c>
      <c r="E288" s="121">
        <f>HEX2DEC(D288)*C284</f>
        <v>6.5535000000000005</v>
      </c>
      <c r="F288" s="121">
        <f>E288</f>
        <v>6.5535000000000005</v>
      </c>
      <c r="G288" s="15" t="s">
        <v>365</v>
      </c>
      <c r="H288" s="148">
        <f>F288/453.5924</f>
        <v>1.4447993396714761E-2</v>
      </c>
      <c r="I288" s="93" t="s">
        <v>366</v>
      </c>
    </row>
    <row r="289" spans="1:9" x14ac:dyDescent="0.35">
      <c r="A289" s="70" t="s">
        <v>257</v>
      </c>
      <c r="B289" s="16" t="s">
        <v>76</v>
      </c>
      <c r="C289" s="16" t="s">
        <v>51</v>
      </c>
      <c r="D289" s="10" t="s">
        <v>50</v>
      </c>
      <c r="E289" s="71"/>
      <c r="F289" s="86" t="s">
        <v>40</v>
      </c>
      <c r="G289" s="9" t="s">
        <v>378</v>
      </c>
      <c r="H289" s="46"/>
      <c r="I289" s="83"/>
    </row>
    <row r="290" spans="1:9" x14ac:dyDescent="0.35">
      <c r="A290" s="166" t="s">
        <v>257</v>
      </c>
      <c r="B290" s="27"/>
      <c r="C290" s="27" t="s">
        <v>377</v>
      </c>
      <c r="D290" s="28" t="s">
        <v>37</v>
      </c>
      <c r="E290" s="73">
        <f>HEX2DEC(D290)*C289</f>
        <v>0</v>
      </c>
      <c r="F290" s="73">
        <f>E290</f>
        <v>0</v>
      </c>
      <c r="G290" s="13" t="s">
        <v>378</v>
      </c>
      <c r="H290" s="90"/>
      <c r="I290" s="66"/>
    </row>
    <row r="291" spans="1:9" x14ac:dyDescent="0.35">
      <c r="A291" s="168" t="s">
        <v>257</v>
      </c>
      <c r="B291" s="12"/>
      <c r="C291" s="12" t="s">
        <v>379</v>
      </c>
      <c r="D291" s="13" t="s">
        <v>73</v>
      </c>
      <c r="E291" s="73">
        <f>HEX2DEC(D291)*C289</f>
        <v>3276.8</v>
      </c>
      <c r="F291" s="73">
        <f>E291</f>
        <v>3276.8</v>
      </c>
      <c r="G291" s="13" t="s">
        <v>378</v>
      </c>
      <c r="H291" s="90"/>
      <c r="I291" s="66"/>
    </row>
    <row r="292" spans="1:9" x14ac:dyDescent="0.35">
      <c r="A292" s="168" t="s">
        <v>257</v>
      </c>
      <c r="B292" s="12"/>
      <c r="C292" s="12" t="s">
        <v>82</v>
      </c>
      <c r="D292" s="28" t="s">
        <v>83</v>
      </c>
      <c r="E292" s="73">
        <f>HEX2DEC(D292)*C289</f>
        <v>6000</v>
      </c>
      <c r="F292" s="73">
        <f>E292</f>
        <v>6000</v>
      </c>
      <c r="G292" s="13" t="s">
        <v>378</v>
      </c>
      <c r="H292" s="90"/>
      <c r="I292" s="89"/>
    </row>
    <row r="293" spans="1:9" ht="13.15" thickBot="1" x14ac:dyDescent="0.4">
      <c r="A293" s="165" t="s">
        <v>257</v>
      </c>
      <c r="B293" s="14"/>
      <c r="C293" s="98"/>
      <c r="D293" s="15" t="s">
        <v>38</v>
      </c>
      <c r="E293" s="75">
        <f>HEX2DEC(D293)*C289</f>
        <v>6553.5</v>
      </c>
      <c r="F293" s="75">
        <f>E293</f>
        <v>6553.5</v>
      </c>
      <c r="G293" s="15" t="s">
        <v>378</v>
      </c>
      <c r="H293" s="68"/>
      <c r="I293" s="50"/>
    </row>
    <row r="294" spans="1:9" x14ac:dyDescent="0.35">
      <c r="A294" s="70" t="s">
        <v>258</v>
      </c>
      <c r="B294" s="20" t="s">
        <v>34</v>
      </c>
      <c r="C294" s="16" t="s">
        <v>70</v>
      </c>
      <c r="D294" s="10" t="s">
        <v>50</v>
      </c>
      <c r="E294" s="71"/>
      <c r="F294" s="86" t="s">
        <v>41</v>
      </c>
      <c r="G294" s="172" t="s">
        <v>230</v>
      </c>
      <c r="H294" s="96"/>
      <c r="I294" s="51"/>
    </row>
    <row r="295" spans="1:9" x14ac:dyDescent="0.35">
      <c r="A295" s="166" t="s">
        <v>258</v>
      </c>
      <c r="B295" s="29"/>
      <c r="C295" s="29" t="s">
        <v>300</v>
      </c>
      <c r="D295" s="28" t="s">
        <v>37</v>
      </c>
      <c r="E295" s="40">
        <f>HEX2DEC(D295)*C294</f>
        <v>0</v>
      </c>
      <c r="F295" s="41">
        <f>E295</f>
        <v>0</v>
      </c>
      <c r="G295" s="13" t="s">
        <v>230</v>
      </c>
      <c r="H295" s="87"/>
      <c r="I295" s="66"/>
    </row>
    <row r="296" spans="1:9" x14ac:dyDescent="0.35">
      <c r="A296" s="168" t="s">
        <v>258</v>
      </c>
      <c r="B296" s="11"/>
      <c r="C296" s="27"/>
      <c r="D296" s="28" t="s">
        <v>225</v>
      </c>
      <c r="E296" s="41">
        <f>HEX2DEC(D296)*C294</f>
        <v>0.01</v>
      </c>
      <c r="F296" s="41">
        <f>E296</f>
        <v>0.01</v>
      </c>
      <c r="G296" s="13" t="s">
        <v>230</v>
      </c>
      <c r="H296" s="87"/>
      <c r="I296" s="66"/>
    </row>
    <row r="297" spans="1:9" x14ac:dyDescent="0.35">
      <c r="A297" s="168" t="s">
        <v>258</v>
      </c>
      <c r="B297" s="11"/>
      <c r="C297" s="12" t="s">
        <v>74</v>
      </c>
      <c r="D297" s="28" t="s">
        <v>73</v>
      </c>
      <c r="E297" s="41">
        <f>HEX2DEC(D297)*C294</f>
        <v>327.68</v>
      </c>
      <c r="F297" s="41">
        <f>E297</f>
        <v>327.68</v>
      </c>
      <c r="G297" s="13" t="s">
        <v>230</v>
      </c>
      <c r="H297" s="87"/>
      <c r="I297" s="66"/>
    </row>
    <row r="298" spans="1:9" ht="13.15" thickBot="1" x14ac:dyDescent="0.4">
      <c r="A298" s="165" t="s">
        <v>258</v>
      </c>
      <c r="B298" s="21"/>
      <c r="C298" s="14" t="s">
        <v>75</v>
      </c>
      <c r="D298" s="67" t="s">
        <v>38</v>
      </c>
      <c r="E298" s="77">
        <f>HEX2DEC(D298)*C294</f>
        <v>655.35</v>
      </c>
      <c r="F298" s="77">
        <f>E298</f>
        <v>655.35</v>
      </c>
      <c r="G298" s="15" t="s">
        <v>230</v>
      </c>
      <c r="H298" s="95"/>
      <c r="I298" s="93"/>
    </row>
    <row r="299" spans="1:9" x14ac:dyDescent="0.35">
      <c r="A299" s="70" t="s">
        <v>170</v>
      </c>
      <c r="B299" s="20" t="s">
        <v>380</v>
      </c>
      <c r="C299" s="16" t="s">
        <v>381</v>
      </c>
      <c r="D299" s="10" t="s">
        <v>50</v>
      </c>
      <c r="E299" s="71"/>
      <c r="F299" s="86" t="s">
        <v>41</v>
      </c>
      <c r="G299" s="172" t="s">
        <v>459</v>
      </c>
      <c r="H299" s="96"/>
      <c r="I299" s="51"/>
    </row>
    <row r="300" spans="1:9" x14ac:dyDescent="0.35">
      <c r="A300" s="166" t="s">
        <v>170</v>
      </c>
      <c r="B300" s="29"/>
      <c r="C300" s="29" t="s">
        <v>382</v>
      </c>
      <c r="D300" s="28" t="s">
        <v>37</v>
      </c>
      <c r="E300" s="40">
        <f>HEX2DEC(D300)*C299</f>
        <v>0</v>
      </c>
      <c r="F300" s="41">
        <f>E300</f>
        <v>0</v>
      </c>
      <c r="G300" s="178" t="s">
        <v>459</v>
      </c>
      <c r="H300" s="87"/>
      <c r="I300" s="66"/>
    </row>
    <row r="301" spans="1:9" x14ac:dyDescent="0.35">
      <c r="A301" s="168" t="s">
        <v>170</v>
      </c>
      <c r="B301" s="11"/>
      <c r="C301" s="27"/>
      <c r="D301" s="28" t="s">
        <v>329</v>
      </c>
      <c r="E301" s="41">
        <f>HEX2DEC(D301)*C299</f>
        <v>1.00000006144</v>
      </c>
      <c r="F301" s="41">
        <f>E301</f>
        <v>1.00000006144</v>
      </c>
      <c r="G301" s="178" t="s">
        <v>459</v>
      </c>
      <c r="H301" s="87"/>
      <c r="I301" s="66"/>
    </row>
    <row r="302" spans="1:9" x14ac:dyDescent="0.35">
      <c r="A302" s="168" t="s">
        <v>170</v>
      </c>
      <c r="B302" s="11"/>
      <c r="C302" s="12"/>
      <c r="D302" s="28" t="s">
        <v>73</v>
      </c>
      <c r="E302" s="41">
        <f>HEX2DEC(D302)*C299</f>
        <v>2.00000012288</v>
      </c>
      <c r="F302" s="41">
        <f>E302</f>
        <v>2.00000012288</v>
      </c>
      <c r="G302" s="178" t="s">
        <v>459</v>
      </c>
      <c r="H302" s="87"/>
      <c r="I302" s="66"/>
    </row>
    <row r="303" spans="1:9" ht="13.15" thickBot="1" x14ac:dyDescent="0.4">
      <c r="A303" s="165" t="s">
        <v>170</v>
      </c>
      <c r="B303" s="21"/>
      <c r="C303" s="14"/>
      <c r="D303" s="67" t="s">
        <v>38</v>
      </c>
      <c r="E303" s="77">
        <f>HEX2DEC(D303)*C299</f>
        <v>3.9999392106</v>
      </c>
      <c r="F303" s="77">
        <f>E303</f>
        <v>3.9999392106</v>
      </c>
      <c r="G303" s="179" t="s">
        <v>459</v>
      </c>
      <c r="H303" s="95"/>
      <c r="I303" s="93"/>
    </row>
    <row r="304" spans="1:9" x14ac:dyDescent="0.35">
      <c r="A304" s="70" t="s">
        <v>171</v>
      </c>
      <c r="B304" s="16" t="s">
        <v>0</v>
      </c>
      <c r="C304" s="16" t="s">
        <v>52</v>
      </c>
      <c r="D304" s="10" t="s">
        <v>50</v>
      </c>
      <c r="E304" s="71"/>
      <c r="F304" s="86" t="s">
        <v>41</v>
      </c>
      <c r="G304" s="172" t="s">
        <v>2</v>
      </c>
      <c r="H304" s="86"/>
      <c r="I304" s="51"/>
    </row>
    <row r="305" spans="1:13" x14ac:dyDescent="0.35">
      <c r="A305" s="166" t="s">
        <v>171</v>
      </c>
      <c r="B305" s="27"/>
      <c r="C305" s="27" t="s">
        <v>383</v>
      </c>
      <c r="D305" s="28" t="s">
        <v>37</v>
      </c>
      <c r="E305" s="40">
        <f>HEX2DEC(D305)*C304</f>
        <v>0</v>
      </c>
      <c r="F305" s="41">
        <f>E305</f>
        <v>0</v>
      </c>
      <c r="G305" s="13" t="s">
        <v>2</v>
      </c>
      <c r="H305" s="41"/>
      <c r="I305" s="130"/>
    </row>
    <row r="306" spans="1:13" x14ac:dyDescent="0.35">
      <c r="A306" s="168" t="s">
        <v>171</v>
      </c>
      <c r="B306" s="11"/>
      <c r="C306" s="12"/>
      <c r="D306" s="13" t="s">
        <v>225</v>
      </c>
      <c r="E306" s="39">
        <f>HEX2DEC(D306)*C304</f>
        <v>0.01</v>
      </c>
      <c r="F306" s="41">
        <f>E306</f>
        <v>0.01</v>
      </c>
      <c r="G306" s="13" t="s">
        <v>2</v>
      </c>
      <c r="H306" s="41"/>
      <c r="I306" s="130"/>
    </row>
    <row r="307" spans="1:13" x14ac:dyDescent="0.35">
      <c r="A307" s="168" t="s">
        <v>171</v>
      </c>
      <c r="B307" s="12"/>
      <c r="C307" s="12"/>
      <c r="D307" s="88" t="s">
        <v>73</v>
      </c>
      <c r="E307" s="39">
        <f>HEX2DEC(D307)*C304</f>
        <v>327.68</v>
      </c>
      <c r="F307" s="41">
        <f>E307</f>
        <v>327.68</v>
      </c>
      <c r="G307" s="13" t="s">
        <v>2</v>
      </c>
      <c r="H307" s="41"/>
      <c r="I307" s="130"/>
    </row>
    <row r="308" spans="1:13" ht="13.15" thickBot="1" x14ac:dyDescent="0.4">
      <c r="A308" s="165" t="s">
        <v>171</v>
      </c>
      <c r="B308" s="14"/>
      <c r="C308" s="42"/>
      <c r="D308" s="15" t="s">
        <v>38</v>
      </c>
      <c r="E308" s="79">
        <f>HEX2DEC(D308)*C304</f>
        <v>655.35</v>
      </c>
      <c r="F308" s="77">
        <f>E308</f>
        <v>655.35</v>
      </c>
      <c r="G308" s="15" t="s">
        <v>2</v>
      </c>
      <c r="H308" s="77"/>
      <c r="I308" s="133"/>
    </row>
    <row r="309" spans="1:13" x14ac:dyDescent="0.35">
      <c r="A309" s="64" t="s">
        <v>263</v>
      </c>
      <c r="B309" s="8" t="s">
        <v>384</v>
      </c>
      <c r="C309" s="9" t="s">
        <v>176</v>
      </c>
      <c r="D309" s="10" t="s">
        <v>50</v>
      </c>
      <c r="E309" s="30"/>
      <c r="F309" s="10" t="s">
        <v>39</v>
      </c>
      <c r="G309" s="174" t="s">
        <v>386</v>
      </c>
      <c r="H309" s="65"/>
      <c r="I309" s="51"/>
    </row>
    <row r="310" spans="1:13" x14ac:dyDescent="0.35">
      <c r="A310" s="164" t="s">
        <v>263</v>
      </c>
      <c r="B310" s="22"/>
      <c r="C310" s="26" t="s">
        <v>385</v>
      </c>
      <c r="D310" s="28" t="s">
        <v>37</v>
      </c>
      <c r="E310" s="35">
        <f>HEX2DEC(D310)*C309</f>
        <v>0</v>
      </c>
      <c r="F310" s="35">
        <f>E310</f>
        <v>0</v>
      </c>
      <c r="G310" s="35" t="s">
        <v>386</v>
      </c>
      <c r="H310" s="40"/>
      <c r="I310" s="66"/>
    </row>
    <row r="311" spans="1:13" ht="13.15" thickBot="1" x14ac:dyDescent="0.4">
      <c r="A311" s="165" t="s">
        <v>263</v>
      </c>
      <c r="B311" s="14"/>
      <c r="C311" s="14"/>
      <c r="D311" s="67" t="s">
        <v>38</v>
      </c>
      <c r="E311" s="68">
        <f>HEX2DEC(D311)*C309</f>
        <v>65535</v>
      </c>
      <c r="F311" s="68">
        <f>E311</f>
        <v>65535</v>
      </c>
      <c r="G311" s="68" t="s">
        <v>386</v>
      </c>
      <c r="H311" s="69"/>
      <c r="I311" s="50"/>
    </row>
    <row r="312" spans="1:13" x14ac:dyDescent="0.35">
      <c r="A312" s="70" t="s">
        <v>268</v>
      </c>
      <c r="B312" s="16" t="s">
        <v>34</v>
      </c>
      <c r="C312" s="16" t="s">
        <v>52</v>
      </c>
      <c r="D312" s="10" t="s">
        <v>50</v>
      </c>
      <c r="E312" s="71"/>
      <c r="F312" s="86" t="s">
        <v>41</v>
      </c>
      <c r="G312" s="175" t="s">
        <v>230</v>
      </c>
      <c r="H312" s="46"/>
      <c r="I312" s="83"/>
    </row>
    <row r="313" spans="1:13" x14ac:dyDescent="0.35">
      <c r="A313" s="166" t="s">
        <v>268</v>
      </c>
      <c r="B313" s="27"/>
      <c r="C313" s="27" t="s">
        <v>387</v>
      </c>
      <c r="D313" s="28" t="s">
        <v>37</v>
      </c>
      <c r="E313" s="73">
        <f>HEX2DEC(D313)*C312</f>
        <v>0</v>
      </c>
      <c r="F313" s="41">
        <f>E313</f>
        <v>0</v>
      </c>
      <c r="G313" s="149" t="s">
        <v>230</v>
      </c>
      <c r="H313" s="90"/>
      <c r="I313" s="66"/>
    </row>
    <row r="314" spans="1:13" x14ac:dyDescent="0.35">
      <c r="A314" s="168" t="s">
        <v>268</v>
      </c>
      <c r="B314" s="12"/>
      <c r="C314" s="12"/>
      <c r="D314" s="13" t="s">
        <v>225</v>
      </c>
      <c r="E314" s="73">
        <f>HEX2DEC(D314)*C312</f>
        <v>0.01</v>
      </c>
      <c r="F314" s="41">
        <f>E314</f>
        <v>0.01</v>
      </c>
      <c r="G314" s="149" t="s">
        <v>230</v>
      </c>
      <c r="H314" s="90"/>
      <c r="I314" s="66"/>
    </row>
    <row r="315" spans="1:13" x14ac:dyDescent="0.35">
      <c r="A315" s="168" t="s">
        <v>268</v>
      </c>
      <c r="B315" s="12"/>
      <c r="C315" s="12" t="s">
        <v>388</v>
      </c>
      <c r="D315" s="88" t="s">
        <v>73</v>
      </c>
      <c r="E315" s="73">
        <f>HEX2DEC(D315)*C312</f>
        <v>327.68</v>
      </c>
      <c r="F315" s="41">
        <f>E315</f>
        <v>327.68</v>
      </c>
      <c r="G315" s="149" t="s">
        <v>230</v>
      </c>
      <c r="H315" s="90"/>
      <c r="I315" s="89"/>
    </row>
    <row r="316" spans="1:13" ht="13.15" thickBot="1" x14ac:dyDescent="0.4">
      <c r="A316" s="165" t="s">
        <v>268</v>
      </c>
      <c r="B316" s="14"/>
      <c r="C316" s="14" t="s">
        <v>389</v>
      </c>
      <c r="D316" s="15" t="s">
        <v>38</v>
      </c>
      <c r="E316" s="75">
        <f>HEX2DEC(D316)*C312</f>
        <v>655.35</v>
      </c>
      <c r="F316" s="77">
        <f>E316</f>
        <v>655.35</v>
      </c>
      <c r="G316" s="150" t="s">
        <v>230</v>
      </c>
      <c r="H316" s="68"/>
      <c r="I316" s="50"/>
    </row>
    <row r="317" spans="1:13" s="186" customFormat="1" x14ac:dyDescent="0.35">
      <c r="A317" s="180" t="s">
        <v>269</v>
      </c>
      <c r="B317" s="181" t="s">
        <v>438</v>
      </c>
      <c r="C317" s="181" t="s">
        <v>51</v>
      </c>
      <c r="D317" s="174" t="s">
        <v>50</v>
      </c>
      <c r="E317" s="182"/>
      <c r="F317" s="183" t="s">
        <v>40</v>
      </c>
      <c r="G317" s="172" t="s">
        <v>440</v>
      </c>
      <c r="H317" s="184" t="s">
        <v>40</v>
      </c>
      <c r="I317" s="185" t="s">
        <v>441</v>
      </c>
      <c r="K317" s="187"/>
      <c r="L317" s="187"/>
      <c r="M317" s="151"/>
    </row>
    <row r="318" spans="1:13" s="186" customFormat="1" x14ac:dyDescent="0.35">
      <c r="A318" s="166" t="s">
        <v>269</v>
      </c>
      <c r="B318" s="188"/>
      <c r="C318" s="188" t="s">
        <v>439</v>
      </c>
      <c r="D318" s="189" t="s">
        <v>37</v>
      </c>
      <c r="E318" s="190">
        <f>HEX2DEC(D318)*C317</f>
        <v>0</v>
      </c>
      <c r="F318" s="190">
        <f>E318</f>
        <v>0</v>
      </c>
      <c r="G318" s="178" t="s">
        <v>440</v>
      </c>
      <c r="H318" s="191">
        <f>F318/1.055056</f>
        <v>0</v>
      </c>
      <c r="I318" s="192" t="s">
        <v>441</v>
      </c>
      <c r="K318" s="187"/>
      <c r="L318" s="187"/>
      <c r="M318" s="151"/>
    </row>
    <row r="319" spans="1:13" s="186" customFormat="1" x14ac:dyDescent="0.35">
      <c r="A319" s="168" t="s">
        <v>269</v>
      </c>
      <c r="B319" s="193"/>
      <c r="C319" s="193" t="s">
        <v>443</v>
      </c>
      <c r="D319" s="178" t="s">
        <v>363</v>
      </c>
      <c r="E319" s="190">
        <f>HEX2DEC(D319)*C317</f>
        <v>8.2000000000000011</v>
      </c>
      <c r="F319" s="190">
        <f>E319</f>
        <v>8.2000000000000011</v>
      </c>
      <c r="G319" s="178" t="s">
        <v>440</v>
      </c>
      <c r="H319" s="191">
        <f>F319/1.055056</f>
        <v>7.7720993008901909</v>
      </c>
      <c r="I319" s="192" t="s">
        <v>441</v>
      </c>
      <c r="K319" s="187"/>
      <c r="L319" s="187"/>
      <c r="M319" s="151"/>
    </row>
    <row r="320" spans="1:13" s="186" customFormat="1" x14ac:dyDescent="0.35">
      <c r="A320" s="168" t="s">
        <v>269</v>
      </c>
      <c r="B320" s="193"/>
      <c r="C320" s="193" t="s">
        <v>444</v>
      </c>
      <c r="D320" s="189" t="s">
        <v>364</v>
      </c>
      <c r="E320" s="190">
        <f>HEX2DEC(D320)*C317</f>
        <v>361.70000000000005</v>
      </c>
      <c r="F320" s="190">
        <f>E320</f>
        <v>361.70000000000005</v>
      </c>
      <c r="G320" s="178" t="s">
        <v>440</v>
      </c>
      <c r="H320" s="191">
        <f>F320/1.055056</f>
        <v>342.82540452829051</v>
      </c>
      <c r="I320" s="194" t="s">
        <v>441</v>
      </c>
      <c r="K320" s="187"/>
      <c r="L320" s="187"/>
      <c r="M320" s="151"/>
    </row>
    <row r="321" spans="1:13" s="186" customFormat="1" ht="13.15" thickBot="1" x14ac:dyDescent="0.4">
      <c r="A321" s="165" t="s">
        <v>269</v>
      </c>
      <c r="B321" s="98"/>
      <c r="C321" s="98"/>
      <c r="D321" s="179" t="s">
        <v>38</v>
      </c>
      <c r="E321" s="195">
        <f>HEX2DEC(D321)*C317</f>
        <v>6553.5</v>
      </c>
      <c r="F321" s="195">
        <f>E321</f>
        <v>6553.5</v>
      </c>
      <c r="G321" s="179" t="s">
        <v>440</v>
      </c>
      <c r="H321" s="195">
        <f>F321/1.055056</f>
        <v>6211.5186302907141</v>
      </c>
      <c r="I321" s="196" t="s">
        <v>441</v>
      </c>
      <c r="K321" s="187"/>
      <c r="L321" s="187"/>
      <c r="M321" s="151"/>
    </row>
    <row r="322" spans="1:13" s="186" customFormat="1" x14ac:dyDescent="0.35">
      <c r="A322" s="180" t="s">
        <v>259</v>
      </c>
      <c r="B322" s="181" t="s">
        <v>442</v>
      </c>
      <c r="C322" s="181" t="s">
        <v>15</v>
      </c>
      <c r="D322" s="174" t="s">
        <v>50</v>
      </c>
      <c r="E322" s="182"/>
      <c r="F322" s="174" t="s">
        <v>57</v>
      </c>
      <c r="G322" s="174" t="s">
        <v>448</v>
      </c>
      <c r="H322" s="174" t="s">
        <v>57</v>
      </c>
      <c r="I322" s="185" t="s">
        <v>450</v>
      </c>
      <c r="K322" s="187"/>
      <c r="L322" s="187"/>
      <c r="M322" s="151"/>
    </row>
    <row r="323" spans="1:13" s="186" customFormat="1" x14ac:dyDescent="0.35">
      <c r="A323" s="166" t="s">
        <v>259</v>
      </c>
      <c r="B323" s="188"/>
      <c r="C323" s="193" t="s">
        <v>449</v>
      </c>
      <c r="D323" s="189" t="s">
        <v>37</v>
      </c>
      <c r="E323" s="197">
        <f>HEX2DEC(D323)*C322</f>
        <v>0</v>
      </c>
      <c r="F323" s="198">
        <f>E323</f>
        <v>0</v>
      </c>
      <c r="G323" s="199" t="s">
        <v>448</v>
      </c>
      <c r="H323" s="200">
        <f>F323*1.3410221084</f>
        <v>0</v>
      </c>
      <c r="I323" s="192" t="s">
        <v>450</v>
      </c>
      <c r="K323" s="187"/>
      <c r="L323" s="187"/>
      <c r="M323" s="151"/>
    </row>
    <row r="324" spans="1:13" s="186" customFormat="1" x14ac:dyDescent="0.35">
      <c r="A324" s="164" t="s">
        <v>259</v>
      </c>
      <c r="B324" s="201"/>
      <c r="C324" s="193" t="s">
        <v>445</v>
      </c>
      <c r="D324" s="189" t="s">
        <v>12</v>
      </c>
      <c r="E324" s="197">
        <f>HEX2DEC(D324)*C322</f>
        <v>1</v>
      </c>
      <c r="F324" s="198">
        <f>E324</f>
        <v>1</v>
      </c>
      <c r="G324" s="199" t="s">
        <v>448</v>
      </c>
      <c r="H324" s="200">
        <f>F324*1.3410221084</f>
        <v>1.3410221084</v>
      </c>
      <c r="I324" s="192" t="s">
        <v>450</v>
      </c>
      <c r="K324" s="187"/>
      <c r="L324" s="187"/>
      <c r="M324" s="151"/>
    </row>
    <row r="325" spans="1:13" s="186" customFormat="1" x14ac:dyDescent="0.35">
      <c r="A325" s="164" t="s">
        <v>259</v>
      </c>
      <c r="B325" s="201"/>
      <c r="C325" s="193" t="s">
        <v>446</v>
      </c>
      <c r="D325" s="189" t="s">
        <v>13</v>
      </c>
      <c r="E325" s="197">
        <f>HEX2DEC(D325)*C322</f>
        <v>14.35888671875</v>
      </c>
      <c r="F325" s="198">
        <f>E325</f>
        <v>14.35888671875</v>
      </c>
      <c r="G325" s="199" t="s">
        <v>448</v>
      </c>
      <c r="H325" s="200">
        <f>F325*1.3410221084</f>
        <v>19.255584541854883</v>
      </c>
      <c r="I325" s="194" t="s">
        <v>450</v>
      </c>
      <c r="K325" s="187"/>
      <c r="L325" s="187"/>
      <c r="M325" s="151"/>
    </row>
    <row r="326" spans="1:13" s="186" customFormat="1" ht="13.15" thickBot="1" x14ac:dyDescent="0.4">
      <c r="A326" s="165" t="s">
        <v>259</v>
      </c>
      <c r="B326" s="98"/>
      <c r="C326" s="98" t="s">
        <v>447</v>
      </c>
      <c r="D326" s="202" t="s">
        <v>38</v>
      </c>
      <c r="E326" s="203">
        <f>HEX2DEC(D326)*C322</f>
        <v>15.999755859375</v>
      </c>
      <c r="F326" s="204">
        <f>E326</f>
        <v>15.999755859375</v>
      </c>
      <c r="G326" s="203" t="s">
        <v>448</v>
      </c>
      <c r="H326" s="205">
        <f>F326*1.3410221084</f>
        <v>21.456026336424316</v>
      </c>
      <c r="I326" s="196" t="s">
        <v>450</v>
      </c>
      <c r="K326" s="187"/>
      <c r="L326" s="187"/>
      <c r="M326" s="151"/>
    </row>
    <row r="327" spans="1:13" s="186" customFormat="1" x14ac:dyDescent="0.35">
      <c r="A327" s="239" t="s">
        <v>260</v>
      </c>
      <c r="B327" s="277" t="s">
        <v>567</v>
      </c>
      <c r="C327" s="277" t="s">
        <v>176</v>
      </c>
      <c r="D327" s="241" t="s">
        <v>50</v>
      </c>
      <c r="E327" s="242"/>
      <c r="F327" s="243" t="s">
        <v>39</v>
      </c>
      <c r="G327" s="278"/>
      <c r="H327" s="243"/>
      <c r="I327" s="279"/>
      <c r="K327" s="187"/>
      <c r="L327" s="187"/>
      <c r="M327" s="151"/>
    </row>
    <row r="328" spans="1:13" s="186" customFormat="1" x14ac:dyDescent="0.35">
      <c r="A328" s="166" t="s">
        <v>260</v>
      </c>
      <c r="B328" s="287" t="s">
        <v>392</v>
      </c>
      <c r="C328" s="286" t="s">
        <v>568</v>
      </c>
      <c r="D328" s="250" t="s">
        <v>37</v>
      </c>
      <c r="E328" s="251">
        <f>HEX2DEC(D328)*C327</f>
        <v>0</v>
      </c>
      <c r="F328" s="251">
        <f>E328</f>
        <v>0</v>
      </c>
      <c r="G328" s="255" t="s">
        <v>569</v>
      </c>
      <c r="H328" s="280"/>
      <c r="I328" s="281"/>
      <c r="K328" s="187"/>
      <c r="L328" s="187"/>
      <c r="M328" s="151"/>
    </row>
    <row r="329" spans="1:13" s="186" customFormat="1" x14ac:dyDescent="0.35">
      <c r="A329" s="166" t="s">
        <v>260</v>
      </c>
      <c r="B329" s="11"/>
      <c r="C329" s="286"/>
      <c r="D329" s="255" t="s">
        <v>225</v>
      </c>
      <c r="E329" s="251">
        <f>HEX2DEC(D329)*C327</f>
        <v>1</v>
      </c>
      <c r="F329" s="251">
        <f>E329</f>
        <v>1</v>
      </c>
      <c r="G329" s="255" t="s">
        <v>569</v>
      </c>
      <c r="H329" s="280"/>
      <c r="I329" s="281"/>
      <c r="K329" s="187"/>
      <c r="L329" s="187"/>
      <c r="M329" s="151"/>
    </row>
    <row r="330" spans="1:13" s="186" customFormat="1" x14ac:dyDescent="0.35">
      <c r="A330" s="166" t="s">
        <v>260</v>
      </c>
      <c r="B330" s="11"/>
      <c r="C330" s="11"/>
      <c r="D330" s="282" t="s">
        <v>73</v>
      </c>
      <c r="E330" s="251">
        <f>HEX2DEC(D330)*C327</f>
        <v>32768</v>
      </c>
      <c r="F330" s="251">
        <f>E330</f>
        <v>32768</v>
      </c>
      <c r="G330" s="255" t="s">
        <v>569</v>
      </c>
      <c r="H330" s="280"/>
      <c r="I330" s="283"/>
      <c r="K330" s="187"/>
      <c r="L330" s="187"/>
      <c r="M330" s="151"/>
    </row>
    <row r="331" spans="1:13" s="186" customFormat="1" ht="13.15" thickBot="1" x14ac:dyDescent="0.4">
      <c r="A331" s="166" t="s">
        <v>260</v>
      </c>
      <c r="B331" s="277"/>
      <c r="C331" s="277"/>
      <c r="D331" s="259" t="s">
        <v>38</v>
      </c>
      <c r="E331" s="260">
        <f>HEX2DEC(D331)*C327</f>
        <v>65535</v>
      </c>
      <c r="F331" s="260">
        <f>E331</f>
        <v>65535</v>
      </c>
      <c r="G331" s="255" t="s">
        <v>569</v>
      </c>
      <c r="H331" s="284"/>
      <c r="I331" s="285"/>
      <c r="K331" s="187"/>
      <c r="L331" s="187"/>
      <c r="M331" s="151"/>
    </row>
    <row r="332" spans="1:13" x14ac:dyDescent="0.35">
      <c r="A332" s="70" t="s">
        <v>204</v>
      </c>
      <c r="B332" s="16" t="s">
        <v>26</v>
      </c>
      <c r="C332" s="16" t="s">
        <v>176</v>
      </c>
      <c r="D332" s="10" t="s">
        <v>390</v>
      </c>
      <c r="E332" s="71"/>
      <c r="F332" s="86" t="s">
        <v>39</v>
      </c>
      <c r="G332" s="9"/>
      <c r="H332" s="86"/>
      <c r="I332" s="51"/>
      <c r="K332" s="151"/>
    </row>
    <row r="333" spans="1:13" x14ac:dyDescent="0.35">
      <c r="A333" s="166" t="s">
        <v>204</v>
      </c>
      <c r="B333" s="152" t="s">
        <v>392</v>
      </c>
      <c r="C333" s="27" t="s">
        <v>391</v>
      </c>
      <c r="D333" s="28" t="s">
        <v>73</v>
      </c>
      <c r="E333" s="40">
        <f>HEX2DEC(CONCATENATE(B333,D333))*C332</f>
        <v>-32768</v>
      </c>
      <c r="F333" s="40">
        <f>E333</f>
        <v>-32768</v>
      </c>
      <c r="G333" s="13"/>
      <c r="H333" s="135"/>
      <c r="I333" s="130"/>
    </row>
    <row r="334" spans="1:13" x14ac:dyDescent="0.35">
      <c r="A334" s="168" t="s">
        <v>204</v>
      </c>
      <c r="B334" s="152" t="s">
        <v>392</v>
      </c>
      <c r="C334" s="12"/>
      <c r="D334" s="13" t="s">
        <v>38</v>
      </c>
      <c r="E334" s="40">
        <f>HEX2DEC(CONCATENATE(B334,D334))*C332</f>
        <v>-1</v>
      </c>
      <c r="F334" s="40">
        <f>E334</f>
        <v>-1</v>
      </c>
      <c r="G334" s="13"/>
      <c r="H334" s="135"/>
      <c r="I334" s="130"/>
    </row>
    <row r="335" spans="1:13" x14ac:dyDescent="0.35">
      <c r="A335" s="168" t="s">
        <v>204</v>
      </c>
      <c r="B335" s="11"/>
      <c r="C335" s="12"/>
      <c r="D335" s="13" t="s">
        <v>37</v>
      </c>
      <c r="E335" s="40">
        <f>HEX2DEC(D335)*C332</f>
        <v>0</v>
      </c>
      <c r="F335" s="40">
        <f>E335</f>
        <v>0</v>
      </c>
      <c r="G335" s="13"/>
      <c r="H335" s="135"/>
      <c r="I335" s="130"/>
    </row>
    <row r="336" spans="1:13" x14ac:dyDescent="0.35">
      <c r="A336" s="168" t="s">
        <v>204</v>
      </c>
      <c r="B336" s="11"/>
      <c r="C336" s="12"/>
      <c r="D336" s="13" t="s">
        <v>225</v>
      </c>
      <c r="E336" s="40">
        <f>HEX2DEC(D336)*C332</f>
        <v>1</v>
      </c>
      <c r="F336" s="40">
        <f>E336</f>
        <v>1</v>
      </c>
      <c r="G336" s="13"/>
      <c r="H336" s="135"/>
      <c r="I336" s="130"/>
    </row>
    <row r="337" spans="1:9" ht="13.15" thickBot="1" x14ac:dyDescent="0.4">
      <c r="A337" s="165" t="s">
        <v>204</v>
      </c>
      <c r="B337" s="14"/>
      <c r="C337" s="42"/>
      <c r="D337" s="15" t="s">
        <v>371</v>
      </c>
      <c r="E337" s="68">
        <f>HEX2DEC(D337)*C332</f>
        <v>32767</v>
      </c>
      <c r="F337" s="68">
        <f>E337</f>
        <v>32767</v>
      </c>
      <c r="G337" s="15"/>
      <c r="H337" s="136"/>
      <c r="I337" s="133"/>
    </row>
    <row r="338" spans="1:9" x14ac:dyDescent="0.35">
      <c r="A338" s="70" t="s">
        <v>205</v>
      </c>
      <c r="B338" s="16" t="s">
        <v>26</v>
      </c>
      <c r="C338" s="16" t="s">
        <v>51</v>
      </c>
      <c r="D338" s="10" t="s">
        <v>390</v>
      </c>
      <c r="E338" s="71"/>
      <c r="F338" s="86" t="s">
        <v>40</v>
      </c>
      <c r="G338" s="9"/>
      <c r="H338" s="86"/>
      <c r="I338" s="51"/>
    </row>
    <row r="339" spans="1:9" x14ac:dyDescent="0.35">
      <c r="A339" s="166" t="s">
        <v>205</v>
      </c>
      <c r="B339" s="152" t="s">
        <v>392</v>
      </c>
      <c r="C339" s="27" t="s">
        <v>393</v>
      </c>
      <c r="D339" s="28" t="s">
        <v>73</v>
      </c>
      <c r="E339" s="73">
        <f>HEX2DEC(CONCATENATE(B339,D339))*C338</f>
        <v>-3276.8</v>
      </c>
      <c r="F339" s="73">
        <f>E339</f>
        <v>-3276.8</v>
      </c>
      <c r="G339" s="13"/>
      <c r="H339" s="135"/>
      <c r="I339" s="130"/>
    </row>
    <row r="340" spans="1:9" x14ac:dyDescent="0.35">
      <c r="A340" s="168" t="s">
        <v>205</v>
      </c>
      <c r="B340" s="152" t="s">
        <v>392</v>
      </c>
      <c r="C340" s="12"/>
      <c r="D340" s="13" t="s">
        <v>38</v>
      </c>
      <c r="E340" s="73">
        <f>HEX2DEC(CONCATENATE(B340,D340))*C338</f>
        <v>-0.1</v>
      </c>
      <c r="F340" s="73">
        <f>E340</f>
        <v>-0.1</v>
      </c>
      <c r="G340" s="13"/>
      <c r="H340" s="135"/>
      <c r="I340" s="130"/>
    </row>
    <row r="341" spans="1:9" x14ac:dyDescent="0.35">
      <c r="A341" s="168" t="s">
        <v>205</v>
      </c>
      <c r="B341" s="11"/>
      <c r="C341" s="12"/>
      <c r="D341" s="13" t="s">
        <v>37</v>
      </c>
      <c r="E341" s="73">
        <f>HEX2DEC(D341)*C338</f>
        <v>0</v>
      </c>
      <c r="F341" s="73">
        <f>E341</f>
        <v>0</v>
      </c>
      <c r="G341" s="13"/>
      <c r="H341" s="135"/>
      <c r="I341" s="130"/>
    </row>
    <row r="342" spans="1:9" x14ac:dyDescent="0.35">
      <c r="A342" s="168" t="s">
        <v>205</v>
      </c>
      <c r="B342" s="11"/>
      <c r="C342" s="12"/>
      <c r="D342" s="13" t="s">
        <v>225</v>
      </c>
      <c r="E342" s="73">
        <f>HEX2DEC(D342)*C338</f>
        <v>0.1</v>
      </c>
      <c r="F342" s="73">
        <f>E342</f>
        <v>0.1</v>
      </c>
      <c r="G342" s="13"/>
      <c r="H342" s="135"/>
      <c r="I342" s="130"/>
    </row>
    <row r="343" spans="1:9" ht="13.15" thickBot="1" x14ac:dyDescent="0.4">
      <c r="A343" s="165" t="s">
        <v>205</v>
      </c>
      <c r="B343" s="14"/>
      <c r="C343" s="42"/>
      <c r="D343" s="15" t="s">
        <v>371</v>
      </c>
      <c r="E343" s="75">
        <f>HEX2DEC(D343)*C338</f>
        <v>3276.7000000000003</v>
      </c>
      <c r="F343" s="75">
        <f>E343</f>
        <v>3276.7000000000003</v>
      </c>
      <c r="G343" s="15"/>
      <c r="H343" s="136"/>
      <c r="I343" s="133"/>
    </row>
    <row r="344" spans="1:9" x14ac:dyDescent="0.35">
      <c r="A344" s="70" t="s">
        <v>206</v>
      </c>
      <c r="B344" s="16" t="s">
        <v>26</v>
      </c>
      <c r="C344" s="16" t="s">
        <v>52</v>
      </c>
      <c r="D344" s="10" t="s">
        <v>390</v>
      </c>
      <c r="E344" s="71"/>
      <c r="F344" s="86" t="s">
        <v>41</v>
      </c>
      <c r="G344" s="9"/>
      <c r="H344" s="86"/>
      <c r="I344" s="51"/>
    </row>
    <row r="345" spans="1:9" x14ac:dyDescent="0.35">
      <c r="A345" s="166" t="s">
        <v>206</v>
      </c>
      <c r="B345" s="152" t="s">
        <v>392</v>
      </c>
      <c r="C345" s="27" t="s">
        <v>394</v>
      </c>
      <c r="D345" s="28" t="s">
        <v>73</v>
      </c>
      <c r="E345" s="41">
        <f>HEX2DEC(CONCATENATE(B345,D345))*C344</f>
        <v>-327.68</v>
      </c>
      <c r="F345" s="41">
        <f>E345</f>
        <v>-327.68</v>
      </c>
      <c r="G345" s="13"/>
      <c r="H345" s="135"/>
      <c r="I345" s="130"/>
    </row>
    <row r="346" spans="1:9" x14ac:dyDescent="0.35">
      <c r="A346" s="168" t="s">
        <v>206</v>
      </c>
      <c r="B346" s="152" t="s">
        <v>392</v>
      </c>
      <c r="C346" s="12"/>
      <c r="D346" s="13" t="s">
        <v>38</v>
      </c>
      <c r="E346" s="41">
        <f>HEX2DEC(CONCATENATE(B346,D346))*C344</f>
        <v>-0.01</v>
      </c>
      <c r="F346" s="41">
        <f>E346</f>
        <v>-0.01</v>
      </c>
      <c r="G346" s="13"/>
      <c r="H346" s="135"/>
      <c r="I346" s="130"/>
    </row>
    <row r="347" spans="1:9" x14ac:dyDescent="0.35">
      <c r="A347" s="168" t="s">
        <v>206</v>
      </c>
      <c r="B347" s="11"/>
      <c r="C347" s="12"/>
      <c r="D347" s="13" t="s">
        <v>37</v>
      </c>
      <c r="E347" s="41">
        <f>HEX2DEC(D347)*C344</f>
        <v>0</v>
      </c>
      <c r="F347" s="41">
        <f>E347</f>
        <v>0</v>
      </c>
      <c r="G347" s="13"/>
      <c r="H347" s="135"/>
      <c r="I347" s="130"/>
    </row>
    <row r="348" spans="1:9" x14ac:dyDescent="0.35">
      <c r="A348" s="168" t="s">
        <v>206</v>
      </c>
      <c r="B348" s="11"/>
      <c r="C348" s="12"/>
      <c r="D348" s="13" t="s">
        <v>225</v>
      </c>
      <c r="E348" s="41">
        <f>HEX2DEC(D348)*C344</f>
        <v>0.01</v>
      </c>
      <c r="F348" s="41">
        <f>E348</f>
        <v>0.01</v>
      </c>
      <c r="G348" s="13"/>
      <c r="H348" s="135"/>
      <c r="I348" s="130"/>
    </row>
    <row r="349" spans="1:9" ht="13.15" thickBot="1" x14ac:dyDescent="0.4">
      <c r="A349" s="165" t="s">
        <v>206</v>
      </c>
      <c r="B349" s="14"/>
      <c r="C349" s="42"/>
      <c r="D349" s="15" t="s">
        <v>371</v>
      </c>
      <c r="E349" s="77">
        <f>HEX2DEC(D349)*C344</f>
        <v>327.67</v>
      </c>
      <c r="F349" s="77">
        <f>E349</f>
        <v>327.67</v>
      </c>
      <c r="G349" s="15"/>
      <c r="H349" s="136"/>
      <c r="I349" s="133"/>
    </row>
    <row r="350" spans="1:9" x14ac:dyDescent="0.35">
      <c r="A350" s="70" t="s">
        <v>207</v>
      </c>
      <c r="B350" s="16" t="s">
        <v>26</v>
      </c>
      <c r="C350" s="16" t="s">
        <v>53</v>
      </c>
      <c r="D350" s="10" t="s">
        <v>390</v>
      </c>
      <c r="E350" s="71"/>
      <c r="F350" s="86" t="s">
        <v>42</v>
      </c>
      <c r="G350" s="9"/>
      <c r="H350" s="86"/>
      <c r="I350" s="51"/>
    </row>
    <row r="351" spans="1:9" x14ac:dyDescent="0.35">
      <c r="A351" s="166" t="s">
        <v>207</v>
      </c>
      <c r="B351" s="152" t="s">
        <v>392</v>
      </c>
      <c r="C351" s="27" t="s">
        <v>395</v>
      </c>
      <c r="D351" s="28" t="s">
        <v>73</v>
      </c>
      <c r="E351" s="39">
        <f>HEX2DEC(CONCATENATE(B351,D351))*C350</f>
        <v>-32.768000000000001</v>
      </c>
      <c r="F351" s="39">
        <f>E351</f>
        <v>-32.768000000000001</v>
      </c>
      <c r="G351" s="13"/>
      <c r="H351" s="135"/>
      <c r="I351" s="130"/>
    </row>
    <row r="352" spans="1:9" x14ac:dyDescent="0.35">
      <c r="A352" s="168" t="s">
        <v>207</v>
      </c>
      <c r="B352" s="152" t="s">
        <v>392</v>
      </c>
      <c r="C352" s="12"/>
      <c r="D352" s="13" t="s">
        <v>38</v>
      </c>
      <c r="E352" s="39">
        <f>HEX2DEC(CONCATENATE(B352,D352))*C350</f>
        <v>-1E-3</v>
      </c>
      <c r="F352" s="39">
        <f>E352</f>
        <v>-1E-3</v>
      </c>
      <c r="G352" s="13"/>
      <c r="H352" s="135"/>
      <c r="I352" s="130"/>
    </row>
    <row r="353" spans="1:9" x14ac:dyDescent="0.35">
      <c r="A353" s="168" t="s">
        <v>207</v>
      </c>
      <c r="B353" s="11"/>
      <c r="C353" s="12"/>
      <c r="D353" s="13" t="s">
        <v>37</v>
      </c>
      <c r="E353" s="39">
        <f>HEX2DEC(D353)*C350</f>
        <v>0</v>
      </c>
      <c r="F353" s="39">
        <f>E353</f>
        <v>0</v>
      </c>
      <c r="G353" s="13"/>
      <c r="H353" s="135"/>
      <c r="I353" s="130"/>
    </row>
    <row r="354" spans="1:9" x14ac:dyDescent="0.35">
      <c r="A354" s="168" t="s">
        <v>207</v>
      </c>
      <c r="B354" s="11"/>
      <c r="C354" s="12"/>
      <c r="D354" s="13" t="s">
        <v>225</v>
      </c>
      <c r="E354" s="39">
        <f>HEX2DEC(D354)*C350</f>
        <v>1E-3</v>
      </c>
      <c r="F354" s="39">
        <f>E354</f>
        <v>1E-3</v>
      </c>
      <c r="G354" s="13"/>
      <c r="H354" s="135"/>
      <c r="I354" s="130"/>
    </row>
    <row r="355" spans="1:9" ht="13.15" thickBot="1" x14ac:dyDescent="0.4">
      <c r="A355" s="165" t="s">
        <v>207</v>
      </c>
      <c r="B355" s="14"/>
      <c r="C355" s="42"/>
      <c r="D355" s="15" t="s">
        <v>371</v>
      </c>
      <c r="E355" s="79">
        <f>HEX2DEC(D355)*C350</f>
        <v>32.767000000000003</v>
      </c>
      <c r="F355" s="79">
        <f>E355</f>
        <v>32.767000000000003</v>
      </c>
      <c r="G355" s="15"/>
      <c r="H355" s="136"/>
      <c r="I355" s="133"/>
    </row>
    <row r="356" spans="1:9" x14ac:dyDescent="0.35">
      <c r="A356" s="70" t="s">
        <v>208</v>
      </c>
      <c r="B356" s="16" t="s">
        <v>26</v>
      </c>
      <c r="C356" s="16" t="s">
        <v>54</v>
      </c>
      <c r="D356" s="10" t="s">
        <v>390</v>
      </c>
      <c r="E356" s="71"/>
      <c r="F356" s="86" t="s">
        <v>55</v>
      </c>
      <c r="G356" s="9"/>
      <c r="H356" s="86"/>
      <c r="I356" s="51"/>
    </row>
    <row r="357" spans="1:9" x14ac:dyDescent="0.35">
      <c r="A357" s="166" t="s">
        <v>208</v>
      </c>
      <c r="B357" s="152" t="s">
        <v>392</v>
      </c>
      <c r="C357" s="12" t="s">
        <v>292</v>
      </c>
      <c r="D357" s="28" t="s">
        <v>73</v>
      </c>
      <c r="E357" s="126">
        <f>HEX2DEC(CONCATENATE(B357,D357))*C356</f>
        <v>-0.99999999590400002</v>
      </c>
      <c r="F357" s="126">
        <f>E357</f>
        <v>-0.99999999590400002</v>
      </c>
      <c r="G357" s="13"/>
      <c r="H357" s="135"/>
      <c r="I357" s="130"/>
    </row>
    <row r="358" spans="1:9" x14ac:dyDescent="0.35">
      <c r="A358" s="168" t="s">
        <v>208</v>
      </c>
      <c r="B358" s="152" t="s">
        <v>392</v>
      </c>
      <c r="C358" s="12"/>
      <c r="D358" s="13" t="s">
        <v>38</v>
      </c>
      <c r="E358" s="126">
        <f>HEX2DEC(CONCATENATE(B358,D358))*C356</f>
        <v>-3.0517578E-5</v>
      </c>
      <c r="F358" s="126">
        <f>E358</f>
        <v>-3.0517578E-5</v>
      </c>
      <c r="G358" s="13"/>
      <c r="H358" s="135"/>
      <c r="I358" s="130"/>
    </row>
    <row r="359" spans="1:9" x14ac:dyDescent="0.35">
      <c r="A359" s="168" t="s">
        <v>208</v>
      </c>
      <c r="B359" s="11"/>
      <c r="C359" s="12"/>
      <c r="D359" s="13" t="s">
        <v>37</v>
      </c>
      <c r="E359" s="126">
        <f>HEX2DEC(D359)*C356</f>
        <v>0</v>
      </c>
      <c r="F359" s="126">
        <f>E359</f>
        <v>0</v>
      </c>
      <c r="G359" s="13"/>
      <c r="H359" s="135"/>
      <c r="I359" s="130"/>
    </row>
    <row r="360" spans="1:9" x14ac:dyDescent="0.35">
      <c r="A360" s="168" t="s">
        <v>208</v>
      </c>
      <c r="B360" s="11"/>
      <c r="C360" s="12"/>
      <c r="D360" s="13" t="s">
        <v>225</v>
      </c>
      <c r="E360" s="126">
        <f>HEX2DEC(D360)*C356</f>
        <v>3.0517578E-5</v>
      </c>
      <c r="F360" s="126">
        <f>E360</f>
        <v>3.0517578E-5</v>
      </c>
      <c r="G360" s="13"/>
      <c r="H360" s="135"/>
      <c r="I360" s="130"/>
    </row>
    <row r="361" spans="1:9" ht="13.15" thickBot="1" x14ac:dyDescent="0.4">
      <c r="A361" s="165" t="s">
        <v>208</v>
      </c>
      <c r="B361" s="14"/>
      <c r="C361" s="42"/>
      <c r="D361" s="15" t="s">
        <v>371</v>
      </c>
      <c r="E361" s="127">
        <f>HEX2DEC(D361)*C356</f>
        <v>0.99996947832600003</v>
      </c>
      <c r="F361" s="127">
        <f>E361</f>
        <v>0.99996947832600003</v>
      </c>
      <c r="G361" s="15"/>
      <c r="H361" s="136"/>
      <c r="I361" s="133"/>
    </row>
    <row r="362" spans="1:9" x14ac:dyDescent="0.35">
      <c r="A362" s="70" t="s">
        <v>209</v>
      </c>
      <c r="B362" s="16" t="s">
        <v>26</v>
      </c>
      <c r="C362" s="16" t="s">
        <v>56</v>
      </c>
      <c r="D362" s="10" t="s">
        <v>390</v>
      </c>
      <c r="E362" s="71"/>
      <c r="F362" s="86" t="s">
        <v>66</v>
      </c>
      <c r="G362" s="9"/>
      <c r="H362" s="86"/>
      <c r="I362" s="51"/>
    </row>
    <row r="363" spans="1:9" x14ac:dyDescent="0.35">
      <c r="A363" s="166" t="s">
        <v>209</v>
      </c>
      <c r="B363" s="152" t="s">
        <v>392</v>
      </c>
      <c r="C363" s="12" t="s">
        <v>293</v>
      </c>
      <c r="D363" s="28" t="s">
        <v>73</v>
      </c>
      <c r="E363" s="137">
        <f>HEX2DEC(CONCATENATE(B363,D363))*C362</f>
        <v>-9.9942399999999996</v>
      </c>
      <c r="F363" s="137">
        <f>E363</f>
        <v>-9.9942399999999996</v>
      </c>
      <c r="G363" s="13"/>
      <c r="H363" s="135"/>
      <c r="I363" s="130"/>
    </row>
    <row r="364" spans="1:9" x14ac:dyDescent="0.35">
      <c r="A364" s="168" t="s">
        <v>209</v>
      </c>
      <c r="B364" s="152" t="s">
        <v>392</v>
      </c>
      <c r="C364" s="12"/>
      <c r="D364" s="13" t="s">
        <v>38</v>
      </c>
      <c r="E364" s="137">
        <f>HEX2DEC(CONCATENATE(B364,D364))*C362</f>
        <v>-3.0499999999999999E-4</v>
      </c>
      <c r="F364" s="137">
        <f>E364</f>
        <v>-3.0499999999999999E-4</v>
      </c>
      <c r="G364" s="13"/>
      <c r="H364" s="135"/>
      <c r="I364" s="130"/>
    </row>
    <row r="365" spans="1:9" x14ac:dyDescent="0.35">
      <c r="A365" s="168" t="s">
        <v>209</v>
      </c>
      <c r="B365" s="11"/>
      <c r="C365" s="12"/>
      <c r="D365" s="13" t="s">
        <v>37</v>
      </c>
      <c r="E365" s="137">
        <f>HEX2DEC(D365)*C362</f>
        <v>0</v>
      </c>
      <c r="F365" s="137">
        <f>E365</f>
        <v>0</v>
      </c>
      <c r="G365" s="13"/>
      <c r="H365" s="135"/>
      <c r="I365" s="130"/>
    </row>
    <row r="366" spans="1:9" x14ac:dyDescent="0.35">
      <c r="A366" s="168" t="s">
        <v>209</v>
      </c>
      <c r="B366" s="11"/>
      <c r="C366" s="12"/>
      <c r="D366" s="13" t="s">
        <v>225</v>
      </c>
      <c r="E366" s="137">
        <f>HEX2DEC(D366)*C362</f>
        <v>3.0499999999999999E-4</v>
      </c>
      <c r="F366" s="137">
        <f>E366</f>
        <v>3.0499999999999999E-4</v>
      </c>
      <c r="G366" s="13"/>
      <c r="H366" s="135"/>
      <c r="I366" s="130"/>
    </row>
    <row r="367" spans="1:9" ht="13.15" thickBot="1" x14ac:dyDescent="0.4">
      <c r="A367" s="165" t="s">
        <v>209</v>
      </c>
      <c r="B367" s="14"/>
      <c r="C367" s="42"/>
      <c r="D367" s="15" t="s">
        <v>371</v>
      </c>
      <c r="E367" s="32">
        <f>HEX2DEC(D367)*C362</f>
        <v>9.9939350000000005</v>
      </c>
      <c r="F367" s="32">
        <f>E367</f>
        <v>9.9939350000000005</v>
      </c>
      <c r="G367" s="15"/>
      <c r="H367" s="136"/>
      <c r="I367" s="133"/>
    </row>
    <row r="368" spans="1:9" x14ac:dyDescent="0.35">
      <c r="A368" s="70" t="s">
        <v>246</v>
      </c>
      <c r="B368" s="16" t="s">
        <v>26</v>
      </c>
      <c r="C368" s="16" t="s">
        <v>176</v>
      </c>
      <c r="D368" s="10" t="s">
        <v>390</v>
      </c>
      <c r="E368" s="71"/>
      <c r="F368" s="86" t="s">
        <v>39</v>
      </c>
      <c r="G368" s="172" t="s">
        <v>386</v>
      </c>
      <c r="H368" s="86"/>
      <c r="I368" s="51"/>
    </row>
    <row r="369" spans="1:9" x14ac:dyDescent="0.35">
      <c r="A369" s="166" t="s">
        <v>246</v>
      </c>
      <c r="B369" s="152" t="s">
        <v>392</v>
      </c>
      <c r="C369" s="27" t="s">
        <v>396</v>
      </c>
      <c r="D369" s="28" t="s">
        <v>73</v>
      </c>
      <c r="E369" s="40">
        <f>HEX2DEC(CONCATENATE(B369,D369))*C368</f>
        <v>-32768</v>
      </c>
      <c r="F369" s="40">
        <f>E369</f>
        <v>-32768</v>
      </c>
      <c r="G369" s="13" t="s">
        <v>386</v>
      </c>
      <c r="H369" s="135"/>
      <c r="I369" s="130"/>
    </row>
    <row r="370" spans="1:9" x14ac:dyDescent="0.35">
      <c r="A370" s="168" t="s">
        <v>246</v>
      </c>
      <c r="B370" s="152" t="s">
        <v>392</v>
      </c>
      <c r="C370" s="12"/>
      <c r="D370" s="13" t="s">
        <v>38</v>
      </c>
      <c r="E370" s="40">
        <f>HEX2DEC(CONCATENATE(B370,D370))*C368</f>
        <v>-1</v>
      </c>
      <c r="F370" s="40">
        <f>E370</f>
        <v>-1</v>
      </c>
      <c r="G370" s="13" t="s">
        <v>386</v>
      </c>
      <c r="H370" s="135"/>
      <c r="I370" s="130"/>
    </row>
    <row r="371" spans="1:9" x14ac:dyDescent="0.35">
      <c r="A371" s="168" t="s">
        <v>246</v>
      </c>
      <c r="B371" s="11"/>
      <c r="C371" s="12"/>
      <c r="D371" s="13" t="s">
        <v>37</v>
      </c>
      <c r="E371" s="40">
        <f>HEX2DEC(D371)*C368</f>
        <v>0</v>
      </c>
      <c r="F371" s="40">
        <f>E371</f>
        <v>0</v>
      </c>
      <c r="G371" s="13" t="s">
        <v>386</v>
      </c>
      <c r="H371" s="135"/>
      <c r="I371" s="130"/>
    </row>
    <row r="372" spans="1:9" x14ac:dyDescent="0.35">
      <c r="A372" s="168" t="s">
        <v>246</v>
      </c>
      <c r="B372" s="11"/>
      <c r="C372" s="12"/>
      <c r="D372" s="13" t="s">
        <v>225</v>
      </c>
      <c r="E372" s="40">
        <f>HEX2DEC(D372)*C368</f>
        <v>1</v>
      </c>
      <c r="F372" s="40">
        <f>E372</f>
        <v>1</v>
      </c>
      <c r="G372" s="13" t="s">
        <v>386</v>
      </c>
      <c r="H372" s="135"/>
      <c r="I372" s="130"/>
    </row>
    <row r="373" spans="1:9" ht="13.15" thickBot="1" x14ac:dyDescent="0.4">
      <c r="A373" s="165" t="s">
        <v>246</v>
      </c>
      <c r="B373" s="14"/>
      <c r="C373" s="42"/>
      <c r="D373" s="15" t="s">
        <v>371</v>
      </c>
      <c r="E373" s="68">
        <f>HEX2DEC(D373)*C368</f>
        <v>32767</v>
      </c>
      <c r="F373" s="68">
        <f>E373</f>
        <v>32767</v>
      </c>
      <c r="G373" s="15" t="s">
        <v>386</v>
      </c>
      <c r="H373" s="136"/>
      <c r="I373" s="133"/>
    </row>
    <row r="374" spans="1:9" x14ac:dyDescent="0.35">
      <c r="A374" s="70" t="s">
        <v>175</v>
      </c>
      <c r="B374" s="16" t="s">
        <v>44</v>
      </c>
      <c r="C374" s="16" t="s">
        <v>64</v>
      </c>
      <c r="D374" s="10" t="s">
        <v>390</v>
      </c>
      <c r="E374" s="71"/>
      <c r="F374" s="86" t="s">
        <v>65</v>
      </c>
      <c r="G374" s="172" t="s">
        <v>227</v>
      </c>
      <c r="H374" s="86" t="s">
        <v>66</v>
      </c>
      <c r="I374" s="173" t="s">
        <v>228</v>
      </c>
    </row>
    <row r="375" spans="1:9" x14ac:dyDescent="0.35">
      <c r="A375" s="166" t="s">
        <v>175</v>
      </c>
      <c r="B375" s="152" t="s">
        <v>392</v>
      </c>
      <c r="C375" s="27" t="s">
        <v>295</v>
      </c>
      <c r="D375" s="28" t="s">
        <v>73</v>
      </c>
      <c r="E375" s="39">
        <f>HEX2DEC(CONCATENATE(B375,D375))*C374</f>
        <v>-4000</v>
      </c>
      <c r="F375" s="39">
        <f>E375</f>
        <v>-4000</v>
      </c>
      <c r="G375" s="13" t="s">
        <v>227</v>
      </c>
      <c r="H375" s="154">
        <f>E375/1000</f>
        <v>-4</v>
      </c>
      <c r="I375" s="130" t="s">
        <v>228</v>
      </c>
    </row>
    <row r="376" spans="1:9" x14ac:dyDescent="0.35">
      <c r="A376" s="168" t="s">
        <v>175</v>
      </c>
      <c r="B376" s="152" t="s">
        <v>392</v>
      </c>
      <c r="C376" s="12"/>
      <c r="D376" s="13" t="s">
        <v>38</v>
      </c>
      <c r="E376" s="39">
        <f>HEX2DEC(CONCATENATE(B376,D376))*C374</f>
        <v>-0.1220703125</v>
      </c>
      <c r="F376" s="39">
        <f>E376</f>
        <v>-0.1220703125</v>
      </c>
      <c r="G376" s="13" t="s">
        <v>227</v>
      </c>
      <c r="H376" s="154">
        <f>E376/1000</f>
        <v>-1.220703125E-4</v>
      </c>
      <c r="I376" s="130" t="s">
        <v>228</v>
      </c>
    </row>
    <row r="377" spans="1:9" x14ac:dyDescent="0.35">
      <c r="A377" s="168" t="s">
        <v>175</v>
      </c>
      <c r="B377" s="11"/>
      <c r="C377" s="171"/>
      <c r="D377" s="13" t="s">
        <v>37</v>
      </c>
      <c r="E377" s="39">
        <f>HEX2DEC(D377)*C374</f>
        <v>0</v>
      </c>
      <c r="F377" s="39">
        <f>E377</f>
        <v>0</v>
      </c>
      <c r="G377" s="13" t="s">
        <v>227</v>
      </c>
      <c r="H377" s="154">
        <f>E377/1000</f>
        <v>0</v>
      </c>
      <c r="I377" s="130" t="s">
        <v>228</v>
      </c>
    </row>
    <row r="378" spans="1:9" x14ac:dyDescent="0.35">
      <c r="A378" s="168" t="s">
        <v>175</v>
      </c>
      <c r="B378" s="11"/>
      <c r="C378" s="12" t="s">
        <v>67</v>
      </c>
      <c r="D378" s="13" t="s">
        <v>225</v>
      </c>
      <c r="E378" s="39">
        <f>HEX2DEC(D378)*C374</f>
        <v>0.1220703125</v>
      </c>
      <c r="F378" s="39">
        <f>E378</f>
        <v>0.1220703125</v>
      </c>
      <c r="G378" s="13" t="s">
        <v>227</v>
      </c>
      <c r="H378" s="154">
        <f>E378/1000</f>
        <v>1.220703125E-4</v>
      </c>
      <c r="I378" s="130" t="s">
        <v>228</v>
      </c>
    </row>
    <row r="379" spans="1:9" ht="13.15" thickBot="1" x14ac:dyDescent="0.4">
      <c r="A379" s="165" t="s">
        <v>175</v>
      </c>
      <c r="B379" s="14"/>
      <c r="C379" s="42" t="s">
        <v>68</v>
      </c>
      <c r="D379" s="15" t="s">
        <v>371</v>
      </c>
      <c r="E379" s="79">
        <f>HEX2DEC(D379)*C374</f>
        <v>3999.8779296875</v>
      </c>
      <c r="F379" s="79">
        <f>E379</f>
        <v>3999.8779296875</v>
      </c>
      <c r="G379" s="15" t="s">
        <v>227</v>
      </c>
      <c r="H379" s="155">
        <f>E379/1000</f>
        <v>3.9998779296875</v>
      </c>
      <c r="I379" s="133" t="s">
        <v>228</v>
      </c>
    </row>
    <row r="380" spans="1:9" x14ac:dyDescent="0.35">
      <c r="A380" s="70" t="s">
        <v>261</v>
      </c>
      <c r="B380" s="16" t="s">
        <v>44</v>
      </c>
      <c r="C380" s="16" t="s">
        <v>53</v>
      </c>
      <c r="D380" s="10" t="s">
        <v>390</v>
      </c>
      <c r="E380" s="71"/>
      <c r="F380" s="86" t="s">
        <v>42</v>
      </c>
      <c r="G380" s="172" t="s">
        <v>228</v>
      </c>
      <c r="H380" s="86" t="s">
        <v>39</v>
      </c>
      <c r="I380" s="173" t="s">
        <v>227</v>
      </c>
    </row>
    <row r="381" spans="1:9" x14ac:dyDescent="0.35">
      <c r="A381" s="166" t="s">
        <v>261</v>
      </c>
      <c r="B381" s="152" t="s">
        <v>392</v>
      </c>
      <c r="C381" s="27" t="s">
        <v>397</v>
      </c>
      <c r="D381" s="28" t="s">
        <v>73</v>
      </c>
      <c r="E381" s="39">
        <f>HEX2DEC(CONCATENATE(B381,D381))*C380</f>
        <v>-32.768000000000001</v>
      </c>
      <c r="F381" s="39">
        <f>E381</f>
        <v>-32.768000000000001</v>
      </c>
      <c r="G381" s="13" t="s">
        <v>228</v>
      </c>
      <c r="H381" s="153">
        <f>E381*1000</f>
        <v>-32768</v>
      </c>
      <c r="I381" s="130" t="s">
        <v>227</v>
      </c>
    </row>
    <row r="382" spans="1:9" x14ac:dyDescent="0.35">
      <c r="A382" s="168" t="s">
        <v>261</v>
      </c>
      <c r="B382" s="152" t="s">
        <v>392</v>
      </c>
      <c r="C382" s="12"/>
      <c r="D382" s="13" t="s">
        <v>38</v>
      </c>
      <c r="E382" s="39">
        <f>HEX2DEC(CONCATENATE(B382,D382))*C380</f>
        <v>-1E-3</v>
      </c>
      <c r="F382" s="39">
        <f>E382</f>
        <v>-1E-3</v>
      </c>
      <c r="G382" s="13" t="s">
        <v>228</v>
      </c>
      <c r="H382" s="153">
        <f>E382*1000</f>
        <v>-1</v>
      </c>
      <c r="I382" s="130" t="s">
        <v>227</v>
      </c>
    </row>
    <row r="383" spans="1:9" x14ac:dyDescent="0.35">
      <c r="A383" s="168" t="s">
        <v>261</v>
      </c>
      <c r="B383" s="11"/>
      <c r="C383" s="12"/>
      <c r="D383" s="13" t="s">
        <v>37</v>
      </c>
      <c r="E383" s="39">
        <f>HEX2DEC(D383)*C380</f>
        <v>0</v>
      </c>
      <c r="F383" s="39">
        <f>E383</f>
        <v>0</v>
      </c>
      <c r="G383" s="13" t="s">
        <v>228</v>
      </c>
      <c r="H383" s="153">
        <f>E383*1000</f>
        <v>0</v>
      </c>
      <c r="I383" s="130" t="s">
        <v>227</v>
      </c>
    </row>
    <row r="384" spans="1:9" x14ac:dyDescent="0.35">
      <c r="A384" s="168" t="s">
        <v>261</v>
      </c>
      <c r="B384" s="11"/>
      <c r="C384" s="12" t="s">
        <v>67</v>
      </c>
      <c r="D384" s="13" t="s">
        <v>225</v>
      </c>
      <c r="E384" s="39">
        <f>HEX2DEC(D384)*C380</f>
        <v>1E-3</v>
      </c>
      <c r="F384" s="39">
        <f>E384</f>
        <v>1E-3</v>
      </c>
      <c r="G384" s="13" t="s">
        <v>228</v>
      </c>
      <c r="H384" s="153">
        <f>E384*1000</f>
        <v>1</v>
      </c>
      <c r="I384" s="130" t="s">
        <v>227</v>
      </c>
    </row>
    <row r="385" spans="1:9" ht="13.15" thickBot="1" x14ac:dyDescent="0.4">
      <c r="A385" s="165" t="s">
        <v>261</v>
      </c>
      <c r="B385" s="14"/>
      <c r="C385" s="42" t="s">
        <v>68</v>
      </c>
      <c r="D385" s="15" t="s">
        <v>371</v>
      </c>
      <c r="E385" s="79">
        <f>HEX2DEC(D385)*C380</f>
        <v>32.767000000000003</v>
      </c>
      <c r="F385" s="79">
        <f>E385</f>
        <v>32.767000000000003</v>
      </c>
      <c r="G385" s="15" t="s">
        <v>228</v>
      </c>
      <c r="H385" s="156">
        <f>E385*1000</f>
        <v>32767.000000000004</v>
      </c>
      <c r="I385" s="133" t="s">
        <v>227</v>
      </c>
    </row>
    <row r="386" spans="1:9" x14ac:dyDescent="0.35">
      <c r="A386" s="70" t="s">
        <v>270</v>
      </c>
      <c r="B386" s="16" t="s">
        <v>44</v>
      </c>
      <c r="C386" s="16" t="s">
        <v>52</v>
      </c>
      <c r="D386" s="10" t="s">
        <v>390</v>
      </c>
      <c r="E386" s="71"/>
      <c r="F386" s="86" t="s">
        <v>41</v>
      </c>
      <c r="G386" s="172" t="s">
        <v>228</v>
      </c>
      <c r="H386" s="86" t="s">
        <v>229</v>
      </c>
      <c r="I386" s="173" t="s">
        <v>227</v>
      </c>
    </row>
    <row r="387" spans="1:9" x14ac:dyDescent="0.35">
      <c r="A387" s="166" t="s">
        <v>270</v>
      </c>
      <c r="B387" s="152" t="s">
        <v>392</v>
      </c>
      <c r="C387" s="27" t="s">
        <v>398</v>
      </c>
      <c r="D387" s="28" t="s">
        <v>73</v>
      </c>
      <c r="E387" s="41">
        <f>HEX2DEC(CONCATENATE(B387,D387))*C386</f>
        <v>-327.68</v>
      </c>
      <c r="F387" s="41">
        <f>E387</f>
        <v>-327.68</v>
      </c>
      <c r="G387" s="13" t="s">
        <v>228</v>
      </c>
      <c r="H387" s="153">
        <f>E387*1000</f>
        <v>-327680</v>
      </c>
      <c r="I387" s="130" t="s">
        <v>227</v>
      </c>
    </row>
    <row r="388" spans="1:9" x14ac:dyDescent="0.35">
      <c r="A388" s="168" t="s">
        <v>270</v>
      </c>
      <c r="B388" s="152" t="s">
        <v>392</v>
      </c>
      <c r="C388" s="12"/>
      <c r="D388" s="13" t="s">
        <v>38</v>
      </c>
      <c r="E388" s="41">
        <f>HEX2DEC(CONCATENATE(B388,D388))*C386</f>
        <v>-0.01</v>
      </c>
      <c r="F388" s="41">
        <f>E388</f>
        <v>-0.01</v>
      </c>
      <c r="G388" s="13" t="s">
        <v>228</v>
      </c>
      <c r="H388" s="153">
        <f>E388*1000</f>
        <v>-10</v>
      </c>
      <c r="I388" s="130" t="s">
        <v>227</v>
      </c>
    </row>
    <row r="389" spans="1:9" x14ac:dyDescent="0.35">
      <c r="A389" s="168" t="s">
        <v>270</v>
      </c>
      <c r="B389" s="11"/>
      <c r="C389" s="12"/>
      <c r="D389" s="13" t="s">
        <v>37</v>
      </c>
      <c r="E389" s="41">
        <f>HEX2DEC(D389)*C386</f>
        <v>0</v>
      </c>
      <c r="F389" s="41">
        <f>E389</f>
        <v>0</v>
      </c>
      <c r="G389" s="13" t="s">
        <v>228</v>
      </c>
      <c r="H389" s="153">
        <f>E389*1000</f>
        <v>0</v>
      </c>
      <c r="I389" s="130" t="s">
        <v>227</v>
      </c>
    </row>
    <row r="390" spans="1:9" x14ac:dyDescent="0.35">
      <c r="A390" s="168" t="s">
        <v>270</v>
      </c>
      <c r="B390" s="11"/>
      <c r="C390" s="12" t="s">
        <v>67</v>
      </c>
      <c r="D390" s="13" t="s">
        <v>225</v>
      </c>
      <c r="E390" s="41">
        <f>HEX2DEC(D390)*C386</f>
        <v>0.01</v>
      </c>
      <c r="F390" s="41">
        <f>E390</f>
        <v>0.01</v>
      </c>
      <c r="G390" s="13" t="s">
        <v>228</v>
      </c>
      <c r="H390" s="153">
        <f>E390*1000</f>
        <v>10</v>
      </c>
      <c r="I390" s="130" t="s">
        <v>227</v>
      </c>
    </row>
    <row r="391" spans="1:9" ht="13.15" thickBot="1" x14ac:dyDescent="0.4">
      <c r="A391" s="165" t="s">
        <v>270</v>
      </c>
      <c r="B391" s="14"/>
      <c r="C391" s="42" t="s">
        <v>68</v>
      </c>
      <c r="D391" s="15" t="s">
        <v>371</v>
      </c>
      <c r="E391" s="77">
        <f>HEX2DEC(D391)*C386</f>
        <v>327.67</v>
      </c>
      <c r="F391" s="77">
        <f>E391</f>
        <v>327.67</v>
      </c>
      <c r="G391" s="15" t="s">
        <v>228</v>
      </c>
      <c r="H391" s="156">
        <f>E391*1000</f>
        <v>327670</v>
      </c>
      <c r="I391" s="133" t="s">
        <v>227</v>
      </c>
    </row>
    <row r="392" spans="1:9" x14ac:dyDescent="0.35">
      <c r="A392" s="70" t="s">
        <v>126</v>
      </c>
      <c r="B392" s="16" t="s">
        <v>34</v>
      </c>
      <c r="C392" s="20" t="s">
        <v>71</v>
      </c>
      <c r="D392" s="10" t="s">
        <v>390</v>
      </c>
      <c r="E392" s="71"/>
      <c r="F392" s="86" t="s">
        <v>72</v>
      </c>
      <c r="G392" s="9"/>
      <c r="H392" s="86"/>
      <c r="I392" s="51"/>
    </row>
    <row r="393" spans="1:9" x14ac:dyDescent="0.35">
      <c r="A393" s="166" t="s">
        <v>126</v>
      </c>
      <c r="B393" s="152" t="s">
        <v>392</v>
      </c>
      <c r="C393" s="29" t="s">
        <v>298</v>
      </c>
      <c r="D393" s="28" t="s">
        <v>73</v>
      </c>
      <c r="E393" s="39">
        <f>HEX2DEC(CONCATENATE(B393,D393))*C392</f>
        <v>-128</v>
      </c>
      <c r="F393" s="97">
        <f>E393</f>
        <v>-128</v>
      </c>
      <c r="G393" s="13"/>
      <c r="H393" s="157"/>
      <c r="I393" s="130"/>
    </row>
    <row r="394" spans="1:9" x14ac:dyDescent="0.35">
      <c r="A394" s="168" t="s">
        <v>126</v>
      </c>
      <c r="B394" s="152" t="s">
        <v>392</v>
      </c>
      <c r="C394" s="12"/>
      <c r="D394" s="13" t="s">
        <v>38</v>
      </c>
      <c r="E394" s="39">
        <f>HEX2DEC(CONCATENATE(B394,D394))*C392</f>
        <v>-3.90625E-3</v>
      </c>
      <c r="F394" s="97">
        <f>E394</f>
        <v>-3.90625E-3</v>
      </c>
      <c r="G394" s="13"/>
      <c r="H394" s="157"/>
      <c r="I394" s="130"/>
    </row>
    <row r="395" spans="1:9" x14ac:dyDescent="0.35">
      <c r="A395" s="168" t="s">
        <v>126</v>
      </c>
      <c r="B395" s="11"/>
      <c r="C395" s="12"/>
      <c r="D395" s="13" t="s">
        <v>37</v>
      </c>
      <c r="E395" s="39">
        <f>HEX2DEC(D395)*C392</f>
        <v>0</v>
      </c>
      <c r="F395" s="97">
        <f>E395</f>
        <v>0</v>
      </c>
      <c r="G395" s="13"/>
      <c r="H395" s="157"/>
      <c r="I395" s="130"/>
    </row>
    <row r="396" spans="1:9" x14ac:dyDescent="0.35">
      <c r="A396" s="168" t="s">
        <v>126</v>
      </c>
      <c r="B396" s="11"/>
      <c r="C396" s="12"/>
      <c r="D396" s="13" t="s">
        <v>225</v>
      </c>
      <c r="E396" s="39">
        <f>HEX2DEC(D396)*C392</f>
        <v>3.90625E-3</v>
      </c>
      <c r="F396" s="97">
        <f>E396</f>
        <v>3.90625E-3</v>
      </c>
      <c r="G396" s="13"/>
      <c r="H396" s="157"/>
      <c r="I396" s="130"/>
    </row>
    <row r="397" spans="1:9" ht="13.15" thickBot="1" x14ac:dyDescent="0.4">
      <c r="A397" s="165" t="s">
        <v>126</v>
      </c>
      <c r="B397" s="14"/>
      <c r="C397" s="42"/>
      <c r="D397" s="15" t="s">
        <v>371</v>
      </c>
      <c r="E397" s="79">
        <f>HEX2DEC(D397)*C392</f>
        <v>127.99609375</v>
      </c>
      <c r="F397" s="140">
        <f>E397</f>
        <v>127.99609375</v>
      </c>
      <c r="G397" s="15"/>
      <c r="H397" s="158"/>
      <c r="I397" s="133"/>
    </row>
    <row r="398" spans="1:9" x14ac:dyDescent="0.35">
      <c r="A398" s="70" t="s">
        <v>27</v>
      </c>
      <c r="B398" s="16" t="s">
        <v>34</v>
      </c>
      <c r="C398" s="20" t="s">
        <v>53</v>
      </c>
      <c r="D398" s="10" t="s">
        <v>390</v>
      </c>
      <c r="E398" s="71"/>
      <c r="F398" s="86" t="s">
        <v>42</v>
      </c>
      <c r="G398" s="172" t="s">
        <v>245</v>
      </c>
      <c r="H398" s="86" t="s">
        <v>39</v>
      </c>
      <c r="I398" s="173" t="s">
        <v>230</v>
      </c>
    </row>
    <row r="399" spans="1:9" x14ac:dyDescent="0.35">
      <c r="A399" s="166" t="s">
        <v>27</v>
      </c>
      <c r="B399" s="152" t="s">
        <v>392</v>
      </c>
      <c r="C399" s="29" t="s">
        <v>399</v>
      </c>
      <c r="D399" s="28" t="s">
        <v>73</v>
      </c>
      <c r="E399" s="39">
        <f>HEX2DEC(CONCATENATE(B399,D399))*C398</f>
        <v>-32.768000000000001</v>
      </c>
      <c r="F399" s="39">
        <f>E399</f>
        <v>-32.768000000000001</v>
      </c>
      <c r="G399" s="13" t="s">
        <v>245</v>
      </c>
      <c r="H399" s="153">
        <f>E399*1000</f>
        <v>-32768</v>
      </c>
      <c r="I399" s="130" t="s">
        <v>230</v>
      </c>
    </row>
    <row r="400" spans="1:9" x14ac:dyDescent="0.35">
      <c r="A400" s="168" t="s">
        <v>27</v>
      </c>
      <c r="B400" s="152" t="s">
        <v>392</v>
      </c>
      <c r="C400" s="12"/>
      <c r="D400" s="13" t="s">
        <v>38</v>
      </c>
      <c r="E400" s="39">
        <f>HEX2DEC(CONCATENATE(B400,D400))*C398</f>
        <v>-1E-3</v>
      </c>
      <c r="F400" s="39">
        <f>E400</f>
        <v>-1E-3</v>
      </c>
      <c r="G400" s="13" t="s">
        <v>245</v>
      </c>
      <c r="H400" s="153">
        <f>E400*1000</f>
        <v>-1</v>
      </c>
      <c r="I400" s="130" t="s">
        <v>230</v>
      </c>
    </row>
    <row r="401" spans="1:13" x14ac:dyDescent="0.35">
      <c r="A401" s="168" t="s">
        <v>27</v>
      </c>
      <c r="B401" s="11"/>
      <c r="C401" s="12"/>
      <c r="D401" s="13" t="s">
        <v>37</v>
      </c>
      <c r="E401" s="39">
        <f>HEX2DEC(D401)*C398</f>
        <v>0</v>
      </c>
      <c r="F401" s="39">
        <f>E401</f>
        <v>0</v>
      </c>
      <c r="G401" s="13" t="s">
        <v>245</v>
      </c>
      <c r="H401" s="153">
        <f>E401*1000</f>
        <v>0</v>
      </c>
      <c r="I401" s="130" t="s">
        <v>230</v>
      </c>
    </row>
    <row r="402" spans="1:13" x14ac:dyDescent="0.35">
      <c r="A402" s="168" t="s">
        <v>27</v>
      </c>
      <c r="B402" s="11"/>
      <c r="C402" s="12"/>
      <c r="D402" s="13" t="s">
        <v>225</v>
      </c>
      <c r="E402" s="39">
        <f>HEX2DEC(D402)*C398</f>
        <v>1E-3</v>
      </c>
      <c r="F402" s="39">
        <f>E402</f>
        <v>1E-3</v>
      </c>
      <c r="G402" s="13" t="s">
        <v>245</v>
      </c>
      <c r="H402" s="153">
        <f>E402*1000</f>
        <v>1</v>
      </c>
      <c r="I402" s="130" t="s">
        <v>230</v>
      </c>
    </row>
    <row r="403" spans="1:13" ht="13.15" thickBot="1" x14ac:dyDescent="0.4">
      <c r="A403" s="165" t="s">
        <v>27</v>
      </c>
      <c r="B403" s="14"/>
      <c r="C403" s="42"/>
      <c r="D403" s="15" t="s">
        <v>371</v>
      </c>
      <c r="E403" s="79">
        <f>HEX2DEC(D403)*C398</f>
        <v>32.767000000000003</v>
      </c>
      <c r="F403" s="79">
        <f>E403</f>
        <v>32.767000000000003</v>
      </c>
      <c r="G403" s="15" t="s">
        <v>245</v>
      </c>
      <c r="H403" s="156">
        <f>E403*1000</f>
        <v>32767.000000000004</v>
      </c>
      <c r="I403" s="133" t="s">
        <v>230</v>
      </c>
    </row>
    <row r="404" spans="1:13" s="186" customFormat="1" x14ac:dyDescent="0.35">
      <c r="A404" s="180" t="s">
        <v>28</v>
      </c>
      <c r="B404" s="181" t="s">
        <v>76</v>
      </c>
      <c r="C404" s="181" t="s">
        <v>176</v>
      </c>
      <c r="D404" s="174" t="s">
        <v>390</v>
      </c>
      <c r="E404" s="182"/>
      <c r="F404" s="183" t="s">
        <v>39</v>
      </c>
      <c r="G404" s="174" t="s">
        <v>460</v>
      </c>
      <c r="H404" s="183" t="s">
        <v>39</v>
      </c>
      <c r="I404" s="206" t="s">
        <v>460</v>
      </c>
      <c r="K404" s="187"/>
      <c r="L404" s="187"/>
      <c r="M404" s="151"/>
    </row>
    <row r="405" spans="1:13" s="186" customFormat="1" x14ac:dyDescent="0.35">
      <c r="A405" s="166" t="s">
        <v>28</v>
      </c>
      <c r="B405" s="152" t="s">
        <v>392</v>
      </c>
      <c r="C405" s="188" t="s">
        <v>461</v>
      </c>
      <c r="D405" s="189" t="s">
        <v>73</v>
      </c>
      <c r="E405" s="207">
        <f>HEX2DEC(CONCATENATE(B405,D405))*C404</f>
        <v>-32768</v>
      </c>
      <c r="F405" s="207">
        <f>E405</f>
        <v>-32768</v>
      </c>
      <c r="G405" s="178" t="s">
        <v>460</v>
      </c>
      <c r="H405" s="208">
        <f>E405</f>
        <v>-32768</v>
      </c>
      <c r="I405" s="209" t="s">
        <v>460</v>
      </c>
      <c r="K405" s="187"/>
      <c r="L405" s="187"/>
      <c r="M405" s="151"/>
    </row>
    <row r="406" spans="1:13" s="186" customFormat="1" x14ac:dyDescent="0.35">
      <c r="A406" s="168" t="s">
        <v>28</v>
      </c>
      <c r="B406" s="152" t="s">
        <v>392</v>
      </c>
      <c r="C406" s="193"/>
      <c r="D406" s="178" t="s">
        <v>38</v>
      </c>
      <c r="E406" s="207">
        <f>HEX2DEC(CONCATENATE(B406,D406))*C404</f>
        <v>-1</v>
      </c>
      <c r="F406" s="207">
        <f>E406</f>
        <v>-1</v>
      </c>
      <c r="G406" s="189" t="s">
        <v>460</v>
      </c>
      <c r="H406" s="208">
        <f>E406</f>
        <v>-1</v>
      </c>
      <c r="I406" s="210" t="s">
        <v>460</v>
      </c>
      <c r="K406" s="187"/>
      <c r="L406" s="187"/>
      <c r="M406" s="151"/>
    </row>
    <row r="407" spans="1:13" s="186" customFormat="1" x14ac:dyDescent="0.35">
      <c r="A407" s="168" t="s">
        <v>28</v>
      </c>
      <c r="B407" s="211"/>
      <c r="C407" s="193"/>
      <c r="D407" s="178" t="s">
        <v>37</v>
      </c>
      <c r="E407" s="207">
        <f>HEX2DEC(D407)*C404</f>
        <v>0</v>
      </c>
      <c r="F407" s="207">
        <f>E407</f>
        <v>0</v>
      </c>
      <c r="G407" s="189" t="s">
        <v>460</v>
      </c>
      <c r="H407" s="208">
        <f>E407</f>
        <v>0</v>
      </c>
      <c r="I407" s="210" t="s">
        <v>460</v>
      </c>
      <c r="K407" s="187"/>
      <c r="L407" s="187"/>
      <c r="M407" s="151"/>
    </row>
    <row r="408" spans="1:13" s="186" customFormat="1" x14ac:dyDescent="0.35">
      <c r="A408" s="168" t="s">
        <v>28</v>
      </c>
      <c r="B408" s="211"/>
      <c r="C408" s="193" t="s">
        <v>462</v>
      </c>
      <c r="D408" s="178" t="s">
        <v>225</v>
      </c>
      <c r="E408" s="207">
        <f>HEX2DEC(D408)*C404</f>
        <v>1</v>
      </c>
      <c r="F408" s="207">
        <f>E408</f>
        <v>1</v>
      </c>
      <c r="G408" s="189" t="s">
        <v>460</v>
      </c>
      <c r="H408" s="208">
        <f>E408</f>
        <v>1</v>
      </c>
      <c r="I408" s="210" t="s">
        <v>460</v>
      </c>
      <c r="K408" s="187"/>
      <c r="L408" s="187"/>
      <c r="M408" s="151"/>
    </row>
    <row r="409" spans="1:13" s="186" customFormat="1" ht="13.15" thickBot="1" x14ac:dyDescent="0.4">
      <c r="A409" s="165" t="s">
        <v>28</v>
      </c>
      <c r="B409" s="98"/>
      <c r="C409" s="98" t="s">
        <v>463</v>
      </c>
      <c r="D409" s="179" t="s">
        <v>371</v>
      </c>
      <c r="E409" s="212">
        <f>HEX2DEC(D409)*C404</f>
        <v>32767</v>
      </c>
      <c r="F409" s="212">
        <f>E409</f>
        <v>32767</v>
      </c>
      <c r="G409" s="202" t="s">
        <v>460</v>
      </c>
      <c r="H409" s="213">
        <f>E409</f>
        <v>32767</v>
      </c>
      <c r="I409" s="214" t="s">
        <v>460</v>
      </c>
      <c r="K409" s="187"/>
      <c r="L409" s="187"/>
      <c r="M409" s="151"/>
    </row>
    <row r="410" spans="1:13" s="186" customFormat="1" x14ac:dyDescent="0.35">
      <c r="A410" s="180" t="s">
        <v>210</v>
      </c>
      <c r="B410" s="181" t="s">
        <v>76</v>
      </c>
      <c r="C410" s="181" t="s">
        <v>176</v>
      </c>
      <c r="D410" s="174" t="s">
        <v>390</v>
      </c>
      <c r="E410" s="182"/>
      <c r="F410" s="183" t="s">
        <v>39</v>
      </c>
      <c r="G410" s="172" t="s">
        <v>401</v>
      </c>
      <c r="H410" s="183" t="s">
        <v>42</v>
      </c>
      <c r="I410" s="173" t="s">
        <v>231</v>
      </c>
      <c r="K410" s="187"/>
      <c r="L410" s="187"/>
      <c r="M410" s="151"/>
    </row>
    <row r="411" spans="1:13" s="186" customFormat="1" x14ac:dyDescent="0.35">
      <c r="A411" s="166" t="s">
        <v>210</v>
      </c>
      <c r="B411" s="152" t="s">
        <v>392</v>
      </c>
      <c r="C411" s="188" t="s">
        <v>404</v>
      </c>
      <c r="D411" s="189" t="s">
        <v>73</v>
      </c>
      <c r="E411" s="207">
        <f>HEX2DEC(CONCATENATE(B411,D411))*C410</f>
        <v>-32768</v>
      </c>
      <c r="F411" s="207">
        <f>E411</f>
        <v>-32768</v>
      </c>
      <c r="G411" s="178" t="s">
        <v>401</v>
      </c>
      <c r="H411" s="215">
        <f>E411/1000</f>
        <v>-32.768000000000001</v>
      </c>
      <c r="I411" s="216" t="s">
        <v>231</v>
      </c>
      <c r="K411" s="187"/>
      <c r="L411" s="187"/>
      <c r="M411" s="151"/>
    </row>
    <row r="412" spans="1:13" s="186" customFormat="1" x14ac:dyDescent="0.35">
      <c r="A412" s="168" t="s">
        <v>210</v>
      </c>
      <c r="B412" s="152" t="s">
        <v>392</v>
      </c>
      <c r="C412" s="193"/>
      <c r="D412" s="178" t="s">
        <v>38</v>
      </c>
      <c r="E412" s="207">
        <f>HEX2DEC(CONCATENATE(B412,D412))*C410</f>
        <v>-1</v>
      </c>
      <c r="F412" s="207">
        <f>E412</f>
        <v>-1</v>
      </c>
      <c r="G412" s="178" t="s">
        <v>401</v>
      </c>
      <c r="H412" s="215">
        <f>E412/1000</f>
        <v>-1E-3</v>
      </c>
      <c r="I412" s="216" t="s">
        <v>231</v>
      </c>
      <c r="K412" s="187"/>
      <c r="L412" s="187"/>
      <c r="M412" s="151"/>
    </row>
    <row r="413" spans="1:13" s="186" customFormat="1" x14ac:dyDescent="0.35">
      <c r="A413" s="168" t="s">
        <v>210</v>
      </c>
      <c r="B413" s="211"/>
      <c r="C413" s="193"/>
      <c r="D413" s="178" t="s">
        <v>37</v>
      </c>
      <c r="E413" s="207">
        <f>HEX2DEC(D413)*C410</f>
        <v>0</v>
      </c>
      <c r="F413" s="207">
        <f>E413</f>
        <v>0</v>
      </c>
      <c r="G413" s="178" t="s">
        <v>401</v>
      </c>
      <c r="H413" s="215">
        <f>E413/1000</f>
        <v>0</v>
      </c>
      <c r="I413" s="216" t="s">
        <v>231</v>
      </c>
      <c r="K413" s="187"/>
      <c r="L413" s="187"/>
      <c r="M413" s="151"/>
    </row>
    <row r="414" spans="1:13" s="186" customFormat="1" x14ac:dyDescent="0.35">
      <c r="A414" s="168" t="s">
        <v>210</v>
      </c>
      <c r="B414" s="211"/>
      <c r="C414" s="193" t="s">
        <v>400</v>
      </c>
      <c r="D414" s="178" t="s">
        <v>225</v>
      </c>
      <c r="E414" s="207">
        <f>HEX2DEC(D414)*C410</f>
        <v>1</v>
      </c>
      <c r="F414" s="207">
        <f>E414</f>
        <v>1</v>
      </c>
      <c r="G414" s="178" t="s">
        <v>401</v>
      </c>
      <c r="H414" s="215">
        <f>E414/1000</f>
        <v>1E-3</v>
      </c>
      <c r="I414" s="216" t="s">
        <v>231</v>
      </c>
      <c r="K414" s="187"/>
      <c r="L414" s="187"/>
      <c r="M414" s="151"/>
    </row>
    <row r="415" spans="1:13" s="186" customFormat="1" ht="13.15" thickBot="1" x14ac:dyDescent="0.4">
      <c r="A415" s="165" t="s">
        <v>210</v>
      </c>
      <c r="B415" s="98"/>
      <c r="C415" s="98" t="s">
        <v>463</v>
      </c>
      <c r="D415" s="179" t="s">
        <v>371</v>
      </c>
      <c r="E415" s="212">
        <f>HEX2DEC(D415)*C410</f>
        <v>32767</v>
      </c>
      <c r="F415" s="212">
        <f>E415</f>
        <v>32767</v>
      </c>
      <c r="G415" s="179" t="s">
        <v>401</v>
      </c>
      <c r="H415" s="217">
        <f>E415/1000</f>
        <v>32.767000000000003</v>
      </c>
      <c r="I415" s="218" t="s">
        <v>231</v>
      </c>
      <c r="K415" s="187"/>
      <c r="L415" s="187"/>
      <c r="M415" s="151"/>
    </row>
    <row r="416" spans="1:13" s="186" customFormat="1" x14ac:dyDescent="0.35">
      <c r="A416" s="180" t="s">
        <v>211</v>
      </c>
      <c r="B416" s="181" t="s">
        <v>76</v>
      </c>
      <c r="C416" s="181" t="s">
        <v>51</v>
      </c>
      <c r="D416" s="174" t="s">
        <v>390</v>
      </c>
      <c r="E416" s="182"/>
      <c r="F416" s="183" t="s">
        <v>40</v>
      </c>
      <c r="G416" s="172" t="s">
        <v>231</v>
      </c>
      <c r="H416" s="183"/>
      <c r="I416" s="173"/>
      <c r="K416" s="187"/>
      <c r="L416" s="187"/>
      <c r="M416" s="151"/>
    </row>
    <row r="417" spans="1:13" s="186" customFormat="1" x14ac:dyDescent="0.35">
      <c r="A417" s="166" t="s">
        <v>211</v>
      </c>
      <c r="B417" s="152" t="s">
        <v>392</v>
      </c>
      <c r="C417" s="188" t="s">
        <v>457</v>
      </c>
      <c r="D417" s="189" t="s">
        <v>73</v>
      </c>
      <c r="E417" s="190">
        <f>HEX2DEC(CONCATENATE(B417,D417))*C416</f>
        <v>-3276.8</v>
      </c>
      <c r="F417" s="190">
        <f>E417</f>
        <v>-3276.8</v>
      </c>
      <c r="G417" s="178" t="s">
        <v>231</v>
      </c>
      <c r="H417" s="219"/>
      <c r="I417" s="192"/>
      <c r="K417" s="187"/>
      <c r="L417" s="187"/>
      <c r="M417" s="151"/>
    </row>
    <row r="418" spans="1:13" s="186" customFormat="1" x14ac:dyDescent="0.35">
      <c r="A418" s="166" t="s">
        <v>211</v>
      </c>
      <c r="B418" s="152" t="s">
        <v>392</v>
      </c>
      <c r="C418" s="193"/>
      <c r="D418" s="178" t="s">
        <v>38</v>
      </c>
      <c r="E418" s="190">
        <f>HEX2DEC(CONCATENATE(B418,D418))*C416</f>
        <v>-0.1</v>
      </c>
      <c r="F418" s="190">
        <f>E418</f>
        <v>-0.1</v>
      </c>
      <c r="G418" s="178" t="s">
        <v>231</v>
      </c>
      <c r="H418" s="219"/>
      <c r="I418" s="192"/>
      <c r="K418" s="187"/>
      <c r="L418" s="187"/>
      <c r="M418" s="151"/>
    </row>
    <row r="419" spans="1:13" s="186" customFormat="1" x14ac:dyDescent="0.35">
      <c r="A419" s="166" t="s">
        <v>211</v>
      </c>
      <c r="B419" s="211"/>
      <c r="C419" s="193"/>
      <c r="D419" s="178" t="s">
        <v>37</v>
      </c>
      <c r="E419" s="190">
        <f>HEX2DEC(D419)*C416</f>
        <v>0</v>
      </c>
      <c r="F419" s="190">
        <f>E419</f>
        <v>0</v>
      </c>
      <c r="G419" s="178" t="s">
        <v>231</v>
      </c>
      <c r="H419" s="219"/>
      <c r="I419" s="192"/>
      <c r="K419" s="187"/>
      <c r="L419" s="187"/>
      <c r="M419" s="151"/>
    </row>
    <row r="420" spans="1:13" s="186" customFormat="1" x14ac:dyDescent="0.35">
      <c r="A420" s="166" t="s">
        <v>211</v>
      </c>
      <c r="B420" s="211"/>
      <c r="C420" s="193"/>
      <c r="D420" s="178" t="s">
        <v>225</v>
      </c>
      <c r="E420" s="190">
        <f>HEX2DEC(D420)*C416</f>
        <v>0.1</v>
      </c>
      <c r="F420" s="190">
        <f>E420</f>
        <v>0.1</v>
      </c>
      <c r="G420" s="178" t="s">
        <v>231</v>
      </c>
      <c r="H420" s="219"/>
      <c r="I420" s="192"/>
      <c r="K420" s="187"/>
      <c r="L420" s="187"/>
      <c r="M420" s="151"/>
    </row>
    <row r="421" spans="1:13" s="186" customFormat="1" ht="13.15" thickBot="1" x14ac:dyDescent="0.4">
      <c r="A421" s="165" t="s">
        <v>211</v>
      </c>
      <c r="B421" s="98"/>
      <c r="C421" s="98"/>
      <c r="D421" s="179" t="s">
        <v>371</v>
      </c>
      <c r="E421" s="195">
        <f>HEX2DEC(D421)*C416</f>
        <v>3276.7000000000003</v>
      </c>
      <c r="F421" s="195">
        <f>E421</f>
        <v>3276.7000000000003</v>
      </c>
      <c r="G421" s="179" t="s">
        <v>231</v>
      </c>
      <c r="H421" s="220"/>
      <c r="I421" s="221"/>
      <c r="K421" s="187"/>
      <c r="L421" s="187"/>
      <c r="M421" s="151"/>
    </row>
    <row r="422" spans="1:13" s="186" customFormat="1" x14ac:dyDescent="0.35">
      <c r="A422" s="180" t="s">
        <v>25</v>
      </c>
      <c r="B422" s="181" t="s">
        <v>452</v>
      </c>
      <c r="C422" s="181" t="s">
        <v>51</v>
      </c>
      <c r="D422" s="174" t="s">
        <v>390</v>
      </c>
      <c r="E422" s="182"/>
      <c r="F422" s="183" t="s">
        <v>40</v>
      </c>
      <c r="G422" s="172" t="s">
        <v>454</v>
      </c>
      <c r="H422" s="183" t="s">
        <v>188</v>
      </c>
      <c r="I422" s="173" t="s">
        <v>456</v>
      </c>
      <c r="K422" s="187"/>
      <c r="L422" s="187"/>
      <c r="M422" s="151"/>
    </row>
    <row r="423" spans="1:13" s="186" customFormat="1" x14ac:dyDescent="0.35">
      <c r="A423" s="166" t="s">
        <v>25</v>
      </c>
      <c r="B423" s="152" t="s">
        <v>392</v>
      </c>
      <c r="C423" s="188" t="s">
        <v>453</v>
      </c>
      <c r="D423" s="189" t="s">
        <v>73</v>
      </c>
      <c r="E423" s="190">
        <f>HEX2DEC(CONCATENATE(B423,D423))*C422</f>
        <v>-3276.8</v>
      </c>
      <c r="F423" s="190">
        <f>E423</f>
        <v>-3276.8</v>
      </c>
      <c r="G423" s="178" t="s">
        <v>454</v>
      </c>
      <c r="H423" s="219">
        <f>F423*(0.737562)</f>
        <v>-2416.8431616000003</v>
      </c>
      <c r="I423" s="192" t="s">
        <v>456</v>
      </c>
      <c r="K423" s="187"/>
      <c r="L423" s="187"/>
      <c r="M423" s="151"/>
    </row>
    <row r="424" spans="1:13" s="186" customFormat="1" x14ac:dyDescent="0.35">
      <c r="A424" s="166" t="s">
        <v>25</v>
      </c>
      <c r="B424" s="152" t="s">
        <v>392</v>
      </c>
      <c r="C424" s="193"/>
      <c r="D424" s="178" t="s">
        <v>38</v>
      </c>
      <c r="E424" s="190">
        <f>HEX2DEC(CONCATENATE(B424,D424))*C422</f>
        <v>-0.1</v>
      </c>
      <c r="F424" s="190">
        <f>E424</f>
        <v>-0.1</v>
      </c>
      <c r="G424" s="178" t="s">
        <v>454</v>
      </c>
      <c r="H424" s="219">
        <f>F424*(0.737562)</f>
        <v>-7.3756200000000008E-2</v>
      </c>
      <c r="I424" s="192" t="s">
        <v>456</v>
      </c>
      <c r="K424" s="187"/>
      <c r="L424" s="187"/>
      <c r="M424" s="151"/>
    </row>
    <row r="425" spans="1:13" s="186" customFormat="1" x14ac:dyDescent="0.35">
      <c r="A425" s="166" t="s">
        <v>25</v>
      </c>
      <c r="B425" s="211"/>
      <c r="C425" s="193"/>
      <c r="D425" s="178" t="s">
        <v>37</v>
      </c>
      <c r="E425" s="190">
        <f>HEX2DEC(D425)*C422</f>
        <v>0</v>
      </c>
      <c r="F425" s="190">
        <f>E425</f>
        <v>0</v>
      </c>
      <c r="G425" s="178" t="s">
        <v>454</v>
      </c>
      <c r="H425" s="219">
        <f>F425*(0.737562)</f>
        <v>0</v>
      </c>
      <c r="I425" s="192" t="s">
        <v>456</v>
      </c>
      <c r="K425" s="187"/>
      <c r="L425" s="187"/>
      <c r="M425" s="151"/>
    </row>
    <row r="426" spans="1:13" s="186" customFormat="1" x14ac:dyDescent="0.35">
      <c r="A426" s="166" t="s">
        <v>25</v>
      </c>
      <c r="B426" s="211"/>
      <c r="C426" s="193" t="s">
        <v>455</v>
      </c>
      <c r="D426" s="178" t="s">
        <v>225</v>
      </c>
      <c r="E426" s="190">
        <f>HEX2DEC(D426)*C422</f>
        <v>0.1</v>
      </c>
      <c r="F426" s="190">
        <f>E426</f>
        <v>0.1</v>
      </c>
      <c r="G426" s="178" t="s">
        <v>454</v>
      </c>
      <c r="H426" s="219">
        <f>F426*(0.737562)</f>
        <v>7.3756200000000008E-2</v>
      </c>
      <c r="I426" s="192" t="s">
        <v>456</v>
      </c>
      <c r="K426" s="187"/>
      <c r="L426" s="187"/>
      <c r="M426" s="151"/>
    </row>
    <row r="427" spans="1:13" s="186" customFormat="1" ht="13.15" thickBot="1" x14ac:dyDescent="0.4">
      <c r="A427" s="165" t="s">
        <v>25</v>
      </c>
      <c r="B427" s="98"/>
      <c r="C427" s="42" t="s">
        <v>458</v>
      </c>
      <c r="D427" s="179" t="s">
        <v>371</v>
      </c>
      <c r="E427" s="195">
        <f>HEX2DEC(D427)*C422</f>
        <v>3276.7000000000003</v>
      </c>
      <c r="F427" s="195">
        <f>E427</f>
        <v>3276.7000000000003</v>
      </c>
      <c r="G427" s="179" t="s">
        <v>454</v>
      </c>
      <c r="H427" s="220">
        <f>F427*(0.737562)</f>
        <v>2416.7694054000003</v>
      </c>
      <c r="I427" s="221" t="s">
        <v>456</v>
      </c>
      <c r="K427" s="187"/>
      <c r="L427" s="187"/>
      <c r="M427" s="151"/>
    </row>
    <row r="428" spans="1:13" s="186" customFormat="1" x14ac:dyDescent="0.35">
      <c r="A428" s="180" t="s">
        <v>29</v>
      </c>
      <c r="B428" s="181" t="s">
        <v>104</v>
      </c>
      <c r="C428" s="181" t="s">
        <v>51</v>
      </c>
      <c r="D428" s="174" t="s">
        <v>390</v>
      </c>
      <c r="E428" s="182"/>
      <c r="F428" s="183" t="s">
        <v>40</v>
      </c>
      <c r="G428" s="172" t="s">
        <v>464</v>
      </c>
      <c r="H428" s="183" t="s">
        <v>40</v>
      </c>
      <c r="I428" s="222" t="s">
        <v>465</v>
      </c>
      <c r="K428" s="187"/>
      <c r="L428" s="187"/>
      <c r="M428" s="151"/>
    </row>
    <row r="429" spans="1:13" s="186" customFormat="1" x14ac:dyDescent="0.35">
      <c r="A429" s="166" t="s">
        <v>29</v>
      </c>
      <c r="B429" s="152" t="s">
        <v>392</v>
      </c>
      <c r="C429" s="188" t="s">
        <v>466</v>
      </c>
      <c r="D429" s="189" t="s">
        <v>73</v>
      </c>
      <c r="E429" s="190">
        <f>HEX2DEC(CONCATENATE(B429,D429))*C428</f>
        <v>-3276.8</v>
      </c>
      <c r="F429" s="190">
        <f t="shared" ref="F429:F435" si="6">E429</f>
        <v>-3276.8</v>
      </c>
      <c r="G429" s="178" t="s">
        <v>464</v>
      </c>
      <c r="H429" s="223">
        <f>(F429*1.8)+32</f>
        <v>-5866.2400000000007</v>
      </c>
      <c r="I429" s="216" t="s">
        <v>465</v>
      </c>
      <c r="K429" s="187"/>
      <c r="L429" s="187"/>
      <c r="M429" s="151"/>
    </row>
    <row r="430" spans="1:13" s="186" customFormat="1" x14ac:dyDescent="0.35">
      <c r="A430" s="166" t="s">
        <v>29</v>
      </c>
      <c r="B430" s="152" t="s">
        <v>392</v>
      </c>
      <c r="C430" s="188"/>
      <c r="D430" s="189" t="s">
        <v>402</v>
      </c>
      <c r="E430" s="190">
        <f>HEX2DEC(CONCATENATE(B430,D430))*C428</f>
        <v>-40</v>
      </c>
      <c r="F430" s="190">
        <f t="shared" si="6"/>
        <v>-40</v>
      </c>
      <c r="G430" s="178" t="s">
        <v>464</v>
      </c>
      <c r="H430" s="223">
        <f t="shared" ref="H430:H435" si="7">(F430*1.8)+32</f>
        <v>-40</v>
      </c>
      <c r="I430" s="216" t="s">
        <v>465</v>
      </c>
      <c r="K430" s="187"/>
      <c r="L430" s="187"/>
      <c r="M430" s="151"/>
    </row>
    <row r="431" spans="1:13" s="186" customFormat="1" x14ac:dyDescent="0.35">
      <c r="A431" s="168" t="s">
        <v>29</v>
      </c>
      <c r="B431" s="152" t="s">
        <v>392</v>
      </c>
      <c r="C431" s="193"/>
      <c r="D431" s="178" t="s">
        <v>38</v>
      </c>
      <c r="E431" s="190">
        <f>HEX2DEC(CONCATENATE(B431,D431))*C428</f>
        <v>-0.1</v>
      </c>
      <c r="F431" s="190">
        <f t="shared" si="6"/>
        <v>-0.1</v>
      </c>
      <c r="G431" s="178" t="s">
        <v>464</v>
      </c>
      <c r="H431" s="223">
        <f t="shared" si="7"/>
        <v>31.82</v>
      </c>
      <c r="I431" s="216" t="s">
        <v>465</v>
      </c>
      <c r="K431" s="187"/>
      <c r="L431" s="187"/>
      <c r="M431" s="151"/>
    </row>
    <row r="432" spans="1:13" s="186" customFormat="1" x14ac:dyDescent="0.35">
      <c r="A432" s="168" t="s">
        <v>29</v>
      </c>
      <c r="B432" s="211"/>
      <c r="C432" s="193"/>
      <c r="D432" s="178" t="s">
        <v>37</v>
      </c>
      <c r="E432" s="190">
        <f>HEX2DEC(D432)*C428</f>
        <v>0</v>
      </c>
      <c r="F432" s="190">
        <f t="shared" si="6"/>
        <v>0</v>
      </c>
      <c r="G432" s="178" t="s">
        <v>464</v>
      </c>
      <c r="H432" s="223">
        <f t="shared" si="7"/>
        <v>32</v>
      </c>
      <c r="I432" s="216" t="s">
        <v>465</v>
      </c>
      <c r="K432" s="187"/>
      <c r="L432" s="187"/>
      <c r="M432" s="151"/>
    </row>
    <row r="433" spans="1:13" s="186" customFormat="1" x14ac:dyDescent="0.35">
      <c r="A433" s="168" t="s">
        <v>29</v>
      </c>
      <c r="B433" s="211"/>
      <c r="C433" s="193"/>
      <c r="D433" s="178" t="s">
        <v>225</v>
      </c>
      <c r="E433" s="190">
        <f>HEX2DEC(D433)*C428</f>
        <v>0.1</v>
      </c>
      <c r="F433" s="190">
        <f t="shared" si="6"/>
        <v>0.1</v>
      </c>
      <c r="G433" s="178" t="s">
        <v>464</v>
      </c>
      <c r="H433" s="223">
        <f t="shared" si="7"/>
        <v>32.18</v>
      </c>
      <c r="I433" s="216" t="s">
        <v>465</v>
      </c>
      <c r="K433" s="187"/>
      <c r="L433" s="187"/>
      <c r="M433" s="151"/>
    </row>
    <row r="434" spans="1:13" s="186" customFormat="1" x14ac:dyDescent="0.35">
      <c r="A434" s="167" t="s">
        <v>29</v>
      </c>
      <c r="B434" s="224"/>
      <c r="C434" s="193" t="s">
        <v>108</v>
      </c>
      <c r="D434" s="178" t="s">
        <v>403</v>
      </c>
      <c r="E434" s="190">
        <f>HEX2DEC(D434)*C428</f>
        <v>2000</v>
      </c>
      <c r="F434" s="190">
        <f t="shared" si="6"/>
        <v>2000</v>
      </c>
      <c r="G434" s="178" t="s">
        <v>464</v>
      </c>
      <c r="H434" s="223">
        <f t="shared" si="7"/>
        <v>3632</v>
      </c>
      <c r="I434" s="216" t="s">
        <v>465</v>
      </c>
      <c r="K434" s="187"/>
      <c r="L434" s="187"/>
      <c r="M434" s="151"/>
    </row>
    <row r="435" spans="1:13" s="186" customFormat="1" ht="13.15" thickBot="1" x14ac:dyDescent="0.4">
      <c r="A435" s="165" t="s">
        <v>29</v>
      </c>
      <c r="B435" s="98"/>
      <c r="C435" s="114" t="s">
        <v>467</v>
      </c>
      <c r="D435" s="179" t="s">
        <v>371</v>
      </c>
      <c r="E435" s="195">
        <f>HEX2DEC(D435)*C428</f>
        <v>3276.7000000000003</v>
      </c>
      <c r="F435" s="195">
        <f t="shared" si="6"/>
        <v>3276.7000000000003</v>
      </c>
      <c r="G435" s="179" t="s">
        <v>464</v>
      </c>
      <c r="H435" s="225">
        <f t="shared" si="7"/>
        <v>5930.06</v>
      </c>
      <c r="I435" s="218" t="s">
        <v>465</v>
      </c>
      <c r="K435" s="187"/>
      <c r="L435" s="187"/>
      <c r="M435" s="151"/>
    </row>
    <row r="436" spans="1:13" s="186" customFormat="1" x14ac:dyDescent="0.35">
      <c r="A436" s="180" t="s">
        <v>30</v>
      </c>
      <c r="B436" s="181" t="s">
        <v>413</v>
      </c>
      <c r="C436" s="181" t="s">
        <v>52</v>
      </c>
      <c r="D436" s="174" t="s">
        <v>390</v>
      </c>
      <c r="E436" s="182"/>
      <c r="F436" s="183" t="s">
        <v>41</v>
      </c>
      <c r="G436" s="172" t="s">
        <v>468</v>
      </c>
      <c r="H436" s="183" t="s">
        <v>41</v>
      </c>
      <c r="I436" s="222" t="s">
        <v>469</v>
      </c>
      <c r="K436" s="187"/>
      <c r="L436" s="187"/>
      <c r="M436" s="151"/>
    </row>
    <row r="437" spans="1:13" s="186" customFormat="1" x14ac:dyDescent="0.35">
      <c r="A437" s="166" t="s">
        <v>30</v>
      </c>
      <c r="B437" s="152" t="s">
        <v>392</v>
      </c>
      <c r="C437" s="188" t="s">
        <v>470</v>
      </c>
      <c r="D437" s="189" t="s">
        <v>73</v>
      </c>
      <c r="E437" s="197">
        <f>HEX2DEC(CONCATENATE(B437,D437))*C436</f>
        <v>-327.68</v>
      </c>
      <c r="F437" s="197">
        <f>E437</f>
        <v>-327.68</v>
      </c>
      <c r="G437" s="178" t="s">
        <v>468</v>
      </c>
      <c r="H437" s="226">
        <f>(F437*1.8)</f>
        <v>-589.82400000000007</v>
      </c>
      <c r="I437" s="216" t="s">
        <v>469</v>
      </c>
      <c r="K437" s="187"/>
      <c r="L437" s="187"/>
      <c r="M437" s="151"/>
    </row>
    <row r="438" spans="1:13" s="186" customFormat="1" x14ac:dyDescent="0.35">
      <c r="A438" s="168" t="s">
        <v>30</v>
      </c>
      <c r="B438" s="152" t="s">
        <v>392</v>
      </c>
      <c r="C438" s="193"/>
      <c r="D438" s="178" t="s">
        <v>38</v>
      </c>
      <c r="E438" s="197">
        <f>HEX2DEC(CONCATENATE(B438,D438))*C436</f>
        <v>-0.01</v>
      </c>
      <c r="F438" s="197">
        <f>E438</f>
        <v>-0.01</v>
      </c>
      <c r="G438" s="178" t="s">
        <v>468</v>
      </c>
      <c r="H438" s="226">
        <f>(F438*1.8)</f>
        <v>-1.8000000000000002E-2</v>
      </c>
      <c r="I438" s="216" t="s">
        <v>469</v>
      </c>
      <c r="K438" s="187"/>
      <c r="L438" s="187"/>
      <c r="M438" s="151"/>
    </row>
    <row r="439" spans="1:13" s="186" customFormat="1" x14ac:dyDescent="0.35">
      <c r="A439" s="168" t="s">
        <v>30</v>
      </c>
      <c r="B439" s="211"/>
      <c r="C439" s="193"/>
      <c r="D439" s="178" t="s">
        <v>37</v>
      </c>
      <c r="E439" s="197">
        <f>HEX2DEC(D439)*C436</f>
        <v>0</v>
      </c>
      <c r="F439" s="197">
        <f>E439</f>
        <v>0</v>
      </c>
      <c r="G439" s="178" t="s">
        <v>468</v>
      </c>
      <c r="H439" s="226">
        <f>(F439*1.8)</f>
        <v>0</v>
      </c>
      <c r="I439" s="216" t="s">
        <v>469</v>
      </c>
      <c r="K439" s="187"/>
      <c r="L439" s="187"/>
      <c r="M439" s="151"/>
    </row>
    <row r="440" spans="1:13" s="186" customFormat="1" x14ac:dyDescent="0.35">
      <c r="A440" s="168" t="s">
        <v>30</v>
      </c>
      <c r="B440" s="211"/>
      <c r="C440" s="193" t="s">
        <v>108</v>
      </c>
      <c r="D440" s="178" t="s">
        <v>225</v>
      </c>
      <c r="E440" s="197">
        <f>HEX2DEC(D440)*C436</f>
        <v>0.01</v>
      </c>
      <c r="F440" s="197">
        <f>E440</f>
        <v>0.01</v>
      </c>
      <c r="G440" s="178" t="s">
        <v>468</v>
      </c>
      <c r="H440" s="226">
        <f>(F440*1.8)</f>
        <v>1.8000000000000002E-2</v>
      </c>
      <c r="I440" s="216" t="s">
        <v>469</v>
      </c>
      <c r="K440" s="187"/>
      <c r="L440" s="187"/>
      <c r="M440" s="151"/>
    </row>
    <row r="441" spans="1:13" s="186" customFormat="1" ht="13.15" thickBot="1" x14ac:dyDescent="0.4">
      <c r="A441" s="165" t="s">
        <v>30</v>
      </c>
      <c r="B441" s="98"/>
      <c r="C441" s="114" t="s">
        <v>471</v>
      </c>
      <c r="D441" s="179" t="s">
        <v>371</v>
      </c>
      <c r="E441" s="203">
        <f>HEX2DEC(D441)*C436</f>
        <v>327.67</v>
      </c>
      <c r="F441" s="203">
        <f>E441</f>
        <v>327.67</v>
      </c>
      <c r="G441" s="179" t="s">
        <v>468</v>
      </c>
      <c r="H441" s="227">
        <f>(F441*1.8)</f>
        <v>589.80600000000004</v>
      </c>
      <c r="I441" s="218" t="s">
        <v>469</v>
      </c>
      <c r="K441" s="187"/>
      <c r="L441" s="187"/>
      <c r="M441" s="151"/>
    </row>
    <row r="442" spans="1:13" s="186" customFormat="1" x14ac:dyDescent="0.35">
      <c r="A442" s="228" t="s">
        <v>212</v>
      </c>
      <c r="B442" s="229" t="s">
        <v>343</v>
      </c>
      <c r="C442" s="229" t="s">
        <v>176</v>
      </c>
      <c r="D442" s="174" t="s">
        <v>390</v>
      </c>
      <c r="E442" s="182"/>
      <c r="F442" s="183" t="s">
        <v>39</v>
      </c>
      <c r="G442" s="172" t="s">
        <v>345</v>
      </c>
      <c r="H442" s="183"/>
      <c r="I442" s="230"/>
      <c r="K442" s="187"/>
      <c r="L442" s="187"/>
      <c r="M442" s="151"/>
    </row>
    <row r="443" spans="1:13" s="186" customFormat="1" x14ac:dyDescent="0.35">
      <c r="A443" s="275" t="s">
        <v>212</v>
      </c>
      <c r="B443" s="152" t="s">
        <v>392</v>
      </c>
      <c r="C443" s="231" t="s">
        <v>451</v>
      </c>
      <c r="D443" s="189" t="s">
        <v>73</v>
      </c>
      <c r="E443" s="207">
        <f>HEX2DEC(CONCATENATE(B443,D443))*C442</f>
        <v>-32768</v>
      </c>
      <c r="F443" s="207">
        <f>E443</f>
        <v>-32768</v>
      </c>
      <c r="G443" s="178" t="s">
        <v>345</v>
      </c>
      <c r="H443" s="226"/>
      <c r="I443" s="232"/>
      <c r="K443" s="187"/>
      <c r="L443" s="187"/>
      <c r="M443" s="151"/>
    </row>
    <row r="444" spans="1:13" s="186" customFormat="1" x14ac:dyDescent="0.35">
      <c r="A444" s="275" t="s">
        <v>212</v>
      </c>
      <c r="B444" s="152" t="s">
        <v>392</v>
      </c>
      <c r="C444" s="233"/>
      <c r="D444" s="178" t="s">
        <v>38</v>
      </c>
      <c r="E444" s="207">
        <f>HEX2DEC(CONCATENATE(B444,D444))*C442</f>
        <v>-1</v>
      </c>
      <c r="F444" s="207">
        <f>E444</f>
        <v>-1</v>
      </c>
      <c r="G444" s="178" t="s">
        <v>345</v>
      </c>
      <c r="H444" s="226"/>
      <c r="I444" s="232"/>
      <c r="K444" s="187"/>
      <c r="L444" s="187"/>
      <c r="M444" s="151"/>
    </row>
    <row r="445" spans="1:13" s="186" customFormat="1" x14ac:dyDescent="0.35">
      <c r="A445" s="275" t="s">
        <v>212</v>
      </c>
      <c r="B445" s="231"/>
      <c r="C445" s="233"/>
      <c r="D445" s="178" t="s">
        <v>37</v>
      </c>
      <c r="E445" s="207">
        <f>HEX2DEC(D445)*C442</f>
        <v>0</v>
      </c>
      <c r="F445" s="207">
        <f>E445</f>
        <v>0</v>
      </c>
      <c r="G445" s="178" t="s">
        <v>345</v>
      </c>
      <c r="H445" s="226"/>
      <c r="I445" s="232"/>
      <c r="K445" s="187"/>
      <c r="L445" s="187"/>
      <c r="M445" s="151"/>
    </row>
    <row r="446" spans="1:13" s="186" customFormat="1" x14ac:dyDescent="0.35">
      <c r="A446" s="275" t="s">
        <v>212</v>
      </c>
      <c r="B446" s="231"/>
      <c r="C446" s="233"/>
      <c r="D446" s="178" t="s">
        <v>225</v>
      </c>
      <c r="E446" s="207">
        <f>HEX2DEC(D446)*C442</f>
        <v>1</v>
      </c>
      <c r="F446" s="207">
        <f>E446</f>
        <v>1</v>
      </c>
      <c r="G446" s="178" t="s">
        <v>345</v>
      </c>
      <c r="H446" s="226"/>
      <c r="I446" s="232"/>
      <c r="K446" s="187"/>
      <c r="L446" s="187"/>
      <c r="M446" s="151"/>
    </row>
    <row r="447" spans="1:13" s="186" customFormat="1" ht="13.15" thickBot="1" x14ac:dyDescent="0.4">
      <c r="A447" s="276" t="s">
        <v>212</v>
      </c>
      <c r="B447" s="234"/>
      <c r="C447" s="235"/>
      <c r="D447" s="179" t="s">
        <v>371</v>
      </c>
      <c r="E447" s="212">
        <f>HEX2DEC(D447)*C442</f>
        <v>32767</v>
      </c>
      <c r="F447" s="212">
        <f>E447</f>
        <v>32767</v>
      </c>
      <c r="G447" s="179" t="s">
        <v>345</v>
      </c>
      <c r="H447" s="227"/>
      <c r="I447" s="236"/>
      <c r="K447" s="187"/>
      <c r="L447" s="187"/>
      <c r="M447" s="151"/>
    </row>
    <row r="448" spans="1:13" x14ac:dyDescent="0.35">
      <c r="A448" s="70" t="s">
        <v>213</v>
      </c>
      <c r="B448" s="16" t="s">
        <v>405</v>
      </c>
      <c r="C448" s="16" t="s">
        <v>51</v>
      </c>
      <c r="D448" s="10" t="s">
        <v>390</v>
      </c>
      <c r="E448" s="71"/>
      <c r="F448" s="86" t="s">
        <v>40</v>
      </c>
      <c r="G448" s="172" t="s">
        <v>113</v>
      </c>
      <c r="H448" s="86" t="s">
        <v>188</v>
      </c>
      <c r="I448" s="173" t="s">
        <v>234</v>
      </c>
    </row>
    <row r="449" spans="1:9" x14ac:dyDescent="0.35">
      <c r="A449" s="166" t="s">
        <v>213</v>
      </c>
      <c r="B449" s="152" t="s">
        <v>392</v>
      </c>
      <c r="C449" s="27" t="s">
        <v>406</v>
      </c>
      <c r="D449" s="28" t="s">
        <v>73</v>
      </c>
      <c r="E449" s="73">
        <f>HEX2DEC(CONCATENATE(B449,D449))*C448</f>
        <v>-3276.8</v>
      </c>
      <c r="F449" s="73">
        <f>E449</f>
        <v>-3276.8</v>
      </c>
      <c r="G449" s="13" t="s">
        <v>113</v>
      </c>
      <c r="H449" s="87">
        <f>F449*(0.1450377)</f>
        <v>-475.25953535999997</v>
      </c>
      <c r="I449" s="66" t="s">
        <v>234</v>
      </c>
    </row>
    <row r="450" spans="1:9" x14ac:dyDescent="0.35">
      <c r="A450" s="168" t="s">
        <v>213</v>
      </c>
      <c r="B450" s="152" t="s">
        <v>392</v>
      </c>
      <c r="C450" s="12"/>
      <c r="D450" s="13" t="s">
        <v>38</v>
      </c>
      <c r="E450" s="73">
        <f>HEX2DEC(CONCATENATE(B450,D450))*C448</f>
        <v>-0.1</v>
      </c>
      <c r="F450" s="73">
        <f>E450</f>
        <v>-0.1</v>
      </c>
      <c r="G450" s="13" t="s">
        <v>113</v>
      </c>
      <c r="H450" s="87">
        <f>F450*(0.1450377)</f>
        <v>-1.4503769999999999E-2</v>
      </c>
      <c r="I450" s="66" t="s">
        <v>234</v>
      </c>
    </row>
    <row r="451" spans="1:9" x14ac:dyDescent="0.35">
      <c r="A451" s="168" t="s">
        <v>213</v>
      </c>
      <c r="B451" s="11"/>
      <c r="C451" s="12"/>
      <c r="D451" s="13" t="s">
        <v>37</v>
      </c>
      <c r="E451" s="73">
        <f>HEX2DEC(D451)*C448</f>
        <v>0</v>
      </c>
      <c r="F451" s="73">
        <f>E451</f>
        <v>0</v>
      </c>
      <c r="G451" s="13" t="s">
        <v>113</v>
      </c>
      <c r="H451" s="87">
        <f>F451*(0.1450377)</f>
        <v>0</v>
      </c>
      <c r="I451" s="66" t="s">
        <v>234</v>
      </c>
    </row>
    <row r="452" spans="1:9" x14ac:dyDescent="0.35">
      <c r="A452" s="168" t="s">
        <v>213</v>
      </c>
      <c r="B452" s="11"/>
      <c r="C452" s="12" t="s">
        <v>114</v>
      </c>
      <c r="D452" s="13" t="s">
        <v>225</v>
      </c>
      <c r="E452" s="73">
        <f>HEX2DEC(D452)*C448</f>
        <v>0.1</v>
      </c>
      <c r="F452" s="73">
        <f>E452</f>
        <v>0.1</v>
      </c>
      <c r="G452" s="13" t="s">
        <v>113</v>
      </c>
      <c r="H452" s="87">
        <f>F452*(0.1450377)</f>
        <v>1.4503769999999999E-2</v>
      </c>
      <c r="I452" s="66" t="s">
        <v>234</v>
      </c>
    </row>
    <row r="453" spans="1:9" ht="13.15" thickBot="1" x14ac:dyDescent="0.4">
      <c r="A453" s="165" t="s">
        <v>213</v>
      </c>
      <c r="B453" s="14"/>
      <c r="C453" s="42" t="s">
        <v>115</v>
      </c>
      <c r="D453" s="15" t="s">
        <v>371</v>
      </c>
      <c r="E453" s="75">
        <f>HEX2DEC(D453)*C448</f>
        <v>3276.7000000000003</v>
      </c>
      <c r="F453" s="75">
        <f>E453</f>
        <v>3276.7000000000003</v>
      </c>
      <c r="G453" s="15" t="s">
        <v>113</v>
      </c>
      <c r="H453" s="95">
        <f>F453*(0.1450377)</f>
        <v>475.24503159</v>
      </c>
      <c r="I453" s="93" t="s">
        <v>234</v>
      </c>
    </row>
    <row r="454" spans="1:9" x14ac:dyDescent="0.35">
      <c r="A454" s="70" t="s">
        <v>31</v>
      </c>
      <c r="B454" s="16" t="s">
        <v>125</v>
      </c>
      <c r="C454" s="16" t="s">
        <v>52</v>
      </c>
      <c r="D454" s="10" t="s">
        <v>390</v>
      </c>
      <c r="E454" s="71"/>
      <c r="F454" s="86" t="s">
        <v>41</v>
      </c>
      <c r="G454" s="177" t="s">
        <v>177</v>
      </c>
      <c r="H454" s="86"/>
      <c r="I454" s="51"/>
    </row>
    <row r="455" spans="1:9" x14ac:dyDescent="0.35">
      <c r="A455" s="166" t="s">
        <v>31</v>
      </c>
      <c r="B455" s="152" t="s">
        <v>392</v>
      </c>
      <c r="C455" s="27" t="s">
        <v>407</v>
      </c>
      <c r="D455" s="28" t="s">
        <v>73</v>
      </c>
      <c r="E455" s="41">
        <f>HEX2DEC(CONCATENATE(B455,D455))*C454</f>
        <v>-327.68</v>
      </c>
      <c r="F455" s="41">
        <f t="shared" ref="F455:F461" si="8">E455</f>
        <v>-327.68</v>
      </c>
      <c r="G455" s="112" t="s">
        <v>177</v>
      </c>
      <c r="H455" s="159"/>
      <c r="I455" s="130"/>
    </row>
    <row r="456" spans="1:9" ht="12" customHeight="1" x14ac:dyDescent="0.35">
      <c r="A456" s="166" t="s">
        <v>31</v>
      </c>
      <c r="B456" s="152" t="s">
        <v>392</v>
      </c>
      <c r="C456" s="27"/>
      <c r="D456" s="28" t="s">
        <v>408</v>
      </c>
      <c r="E456" s="41">
        <f>HEX2DEC(CONCATENATE(B456,D456))*C454</f>
        <v>-40</v>
      </c>
      <c r="F456" s="41">
        <f t="shared" si="8"/>
        <v>-40</v>
      </c>
      <c r="G456" s="112" t="s">
        <v>177</v>
      </c>
      <c r="H456" s="159"/>
      <c r="I456" s="130"/>
    </row>
    <row r="457" spans="1:9" x14ac:dyDescent="0.35">
      <c r="A457" s="168" t="s">
        <v>31</v>
      </c>
      <c r="B457" s="152" t="s">
        <v>392</v>
      </c>
      <c r="C457" s="12"/>
      <c r="D457" s="13" t="s">
        <v>38</v>
      </c>
      <c r="E457" s="41">
        <f>HEX2DEC(CONCATENATE(B457,D457))*C454</f>
        <v>-0.01</v>
      </c>
      <c r="F457" s="41">
        <f t="shared" si="8"/>
        <v>-0.01</v>
      </c>
      <c r="G457" s="112" t="s">
        <v>177</v>
      </c>
      <c r="H457" s="159"/>
      <c r="I457" s="130"/>
    </row>
    <row r="458" spans="1:9" x14ac:dyDescent="0.35">
      <c r="A458" s="168" t="s">
        <v>31</v>
      </c>
      <c r="B458" s="11"/>
      <c r="C458" s="12"/>
      <c r="D458" s="13" t="s">
        <v>37</v>
      </c>
      <c r="E458" s="41">
        <f>HEX2DEC(D458)*C454</f>
        <v>0</v>
      </c>
      <c r="F458" s="41">
        <f t="shared" si="8"/>
        <v>0</v>
      </c>
      <c r="G458" s="112" t="s">
        <v>177</v>
      </c>
      <c r="H458" s="159"/>
      <c r="I458" s="130"/>
    </row>
    <row r="459" spans="1:9" x14ac:dyDescent="0.35">
      <c r="A459" s="168" t="s">
        <v>31</v>
      </c>
      <c r="B459" s="11"/>
      <c r="C459" s="12"/>
      <c r="D459" s="13" t="s">
        <v>225</v>
      </c>
      <c r="E459" s="41">
        <f>HEX2DEC(D459)*C454</f>
        <v>0.01</v>
      </c>
      <c r="F459" s="41">
        <f t="shared" si="8"/>
        <v>0.01</v>
      </c>
      <c r="G459" s="112" t="s">
        <v>177</v>
      </c>
      <c r="H459" s="159"/>
      <c r="I459" s="130"/>
    </row>
    <row r="460" spans="1:9" x14ac:dyDescent="0.35">
      <c r="A460" s="167" t="s">
        <v>31</v>
      </c>
      <c r="B460" s="23"/>
      <c r="C460" s="12"/>
      <c r="D460" s="13" t="s">
        <v>409</v>
      </c>
      <c r="E460" s="41">
        <f>HEX2DEC(D460)*C454</f>
        <v>40</v>
      </c>
      <c r="F460" s="41">
        <f t="shared" si="8"/>
        <v>40</v>
      </c>
      <c r="G460" s="112" t="s">
        <v>177</v>
      </c>
      <c r="H460" s="159"/>
      <c r="I460" s="130"/>
    </row>
    <row r="461" spans="1:9" ht="13.15" thickBot="1" x14ac:dyDescent="0.4">
      <c r="A461" s="165" t="s">
        <v>31</v>
      </c>
      <c r="B461" s="14"/>
      <c r="C461" s="114"/>
      <c r="D461" s="15" t="s">
        <v>371</v>
      </c>
      <c r="E461" s="77">
        <f>HEX2DEC(D461)*C454</f>
        <v>327.67</v>
      </c>
      <c r="F461" s="77">
        <f t="shared" si="8"/>
        <v>327.67</v>
      </c>
      <c r="G461" s="115" t="s">
        <v>177</v>
      </c>
      <c r="H461" s="161"/>
      <c r="I461" s="133"/>
    </row>
    <row r="462" spans="1:9" x14ac:dyDescent="0.35">
      <c r="A462" s="70" t="s">
        <v>32</v>
      </c>
      <c r="B462" s="16" t="s">
        <v>125</v>
      </c>
      <c r="C462" s="16" t="s">
        <v>179</v>
      </c>
      <c r="D462" s="10" t="s">
        <v>390</v>
      </c>
      <c r="E462" s="71"/>
      <c r="F462" s="86" t="s">
        <v>124</v>
      </c>
      <c r="G462" s="177" t="s">
        <v>177</v>
      </c>
      <c r="H462" s="86"/>
      <c r="I462" s="51"/>
    </row>
    <row r="463" spans="1:9" x14ac:dyDescent="0.35">
      <c r="A463" s="166" t="s">
        <v>32</v>
      </c>
      <c r="B463" s="152" t="s">
        <v>392</v>
      </c>
      <c r="C463" s="27" t="s">
        <v>410</v>
      </c>
      <c r="D463" s="28" t="s">
        <v>73</v>
      </c>
      <c r="E463" s="73">
        <f>HEX2DEC(CONCATENATE(B463,D463))*C462</f>
        <v>-16384</v>
      </c>
      <c r="F463" s="73">
        <f t="shared" ref="F463:F469" si="9">E463</f>
        <v>-16384</v>
      </c>
      <c r="G463" s="112" t="s">
        <v>177</v>
      </c>
      <c r="H463" s="159"/>
      <c r="I463" s="130"/>
    </row>
    <row r="464" spans="1:9" x14ac:dyDescent="0.35">
      <c r="A464" s="166" t="s">
        <v>32</v>
      </c>
      <c r="B464" s="152" t="s">
        <v>392</v>
      </c>
      <c r="C464" s="27"/>
      <c r="D464" s="28" t="s">
        <v>411</v>
      </c>
      <c r="E464" s="73">
        <f>HEX2DEC(CONCATENATE(B464,D464))*C462</f>
        <v>-80</v>
      </c>
      <c r="F464" s="73">
        <f t="shared" si="9"/>
        <v>-80</v>
      </c>
      <c r="G464" s="112" t="s">
        <v>177</v>
      </c>
      <c r="H464" s="159"/>
      <c r="I464" s="130"/>
    </row>
    <row r="465" spans="1:9" x14ac:dyDescent="0.35">
      <c r="A465" s="168" t="s">
        <v>32</v>
      </c>
      <c r="B465" s="152" t="s">
        <v>392</v>
      </c>
      <c r="C465" s="12"/>
      <c r="D465" s="13" t="s">
        <v>38</v>
      </c>
      <c r="E465" s="73">
        <f>HEX2DEC(CONCATENATE(B465,D465))*C462</f>
        <v>-0.5</v>
      </c>
      <c r="F465" s="73">
        <f t="shared" si="9"/>
        <v>-0.5</v>
      </c>
      <c r="G465" s="112" t="s">
        <v>177</v>
      </c>
      <c r="H465" s="159"/>
      <c r="I465" s="130"/>
    </row>
    <row r="466" spans="1:9" x14ac:dyDescent="0.35">
      <c r="A466" s="168" t="s">
        <v>32</v>
      </c>
      <c r="B466" s="11"/>
      <c r="C466" s="12"/>
      <c r="D466" s="13" t="s">
        <v>37</v>
      </c>
      <c r="E466" s="73">
        <f>HEX2DEC(D466)*C462</f>
        <v>0</v>
      </c>
      <c r="F466" s="73">
        <f t="shared" si="9"/>
        <v>0</v>
      </c>
      <c r="G466" s="112" t="s">
        <v>177</v>
      </c>
      <c r="H466" s="159"/>
      <c r="I466" s="130"/>
    </row>
    <row r="467" spans="1:9" x14ac:dyDescent="0.35">
      <c r="A467" s="168" t="s">
        <v>32</v>
      </c>
      <c r="B467" s="11"/>
      <c r="C467" s="12"/>
      <c r="D467" s="13" t="s">
        <v>225</v>
      </c>
      <c r="E467" s="73">
        <f>HEX2DEC(D467)*C462</f>
        <v>0.5</v>
      </c>
      <c r="F467" s="73">
        <f t="shared" si="9"/>
        <v>0.5</v>
      </c>
      <c r="G467" s="112" t="s">
        <v>177</v>
      </c>
      <c r="H467" s="159"/>
      <c r="I467" s="130"/>
    </row>
    <row r="468" spans="1:9" x14ac:dyDescent="0.35">
      <c r="A468" s="167" t="s">
        <v>32</v>
      </c>
      <c r="B468" s="23"/>
      <c r="C468" s="12"/>
      <c r="D468" s="13" t="s">
        <v>412</v>
      </c>
      <c r="E468" s="73">
        <f>HEX2DEC(D468)*C462</f>
        <v>80</v>
      </c>
      <c r="F468" s="73">
        <f t="shared" si="9"/>
        <v>80</v>
      </c>
      <c r="G468" s="112" t="s">
        <v>177</v>
      </c>
      <c r="H468" s="159"/>
      <c r="I468" s="130"/>
    </row>
    <row r="469" spans="1:9" ht="13.15" thickBot="1" x14ac:dyDescent="0.4">
      <c r="A469" s="165" t="s">
        <v>32</v>
      </c>
      <c r="B469" s="14"/>
      <c r="C469" s="114"/>
      <c r="D469" s="15" t="s">
        <v>371</v>
      </c>
      <c r="E469" s="75">
        <f>HEX2DEC(D469)*C462</f>
        <v>16383.5</v>
      </c>
      <c r="F469" s="75">
        <f t="shared" si="9"/>
        <v>16383.5</v>
      </c>
      <c r="G469" s="115" t="s">
        <v>177</v>
      </c>
      <c r="H469" s="161"/>
      <c r="I469" s="133"/>
    </row>
    <row r="470" spans="1:9" x14ac:dyDescent="0.35">
      <c r="A470" s="70" t="s">
        <v>214</v>
      </c>
      <c r="B470" s="16" t="s">
        <v>277</v>
      </c>
      <c r="C470" s="16" t="s">
        <v>176</v>
      </c>
      <c r="D470" s="10" t="s">
        <v>390</v>
      </c>
      <c r="E470" s="71"/>
      <c r="F470" s="86" t="s">
        <v>39</v>
      </c>
      <c r="G470" s="172" t="s">
        <v>281</v>
      </c>
      <c r="H470" s="86" t="s">
        <v>415</v>
      </c>
      <c r="I470" s="173" t="s">
        <v>282</v>
      </c>
    </row>
    <row r="471" spans="1:9" x14ac:dyDescent="0.35">
      <c r="A471" s="166" t="s">
        <v>214</v>
      </c>
      <c r="B471" s="152" t="s">
        <v>392</v>
      </c>
      <c r="C471" s="27" t="s">
        <v>414</v>
      </c>
      <c r="D471" s="28" t="s">
        <v>73</v>
      </c>
      <c r="E471" s="40">
        <f>HEX2DEC(CONCATENATE(B471,D471))*C470</f>
        <v>-32768</v>
      </c>
      <c r="F471" s="40">
        <f>E471</f>
        <v>-32768</v>
      </c>
      <c r="G471" s="13" t="s">
        <v>281</v>
      </c>
      <c r="H471" s="160">
        <f>(F471*0.0022046)</f>
        <v>-72.240332800000004</v>
      </c>
      <c r="I471" s="130" t="s">
        <v>282</v>
      </c>
    </row>
    <row r="472" spans="1:9" x14ac:dyDescent="0.35">
      <c r="A472" s="168" t="s">
        <v>214</v>
      </c>
      <c r="B472" s="152" t="s">
        <v>392</v>
      </c>
      <c r="C472" s="12"/>
      <c r="D472" s="13" t="s">
        <v>38</v>
      </c>
      <c r="E472" s="40">
        <f>HEX2DEC(CONCATENATE(B472,D472))*C470</f>
        <v>-1</v>
      </c>
      <c r="F472" s="40">
        <f>E472</f>
        <v>-1</v>
      </c>
      <c r="G472" s="13" t="s">
        <v>281</v>
      </c>
      <c r="H472" s="160">
        <f>(F472*0.0022046)</f>
        <v>-2.2046000000000001E-3</v>
      </c>
      <c r="I472" s="130" t="s">
        <v>282</v>
      </c>
    </row>
    <row r="473" spans="1:9" x14ac:dyDescent="0.35">
      <c r="A473" s="168" t="s">
        <v>214</v>
      </c>
      <c r="B473" s="11"/>
      <c r="C473" s="12"/>
      <c r="D473" s="13" t="s">
        <v>37</v>
      </c>
      <c r="E473" s="40">
        <f>HEX2DEC(D473)*C470</f>
        <v>0</v>
      </c>
      <c r="F473" s="40">
        <f>E473</f>
        <v>0</v>
      </c>
      <c r="G473" s="13" t="s">
        <v>281</v>
      </c>
      <c r="H473" s="160">
        <f>(F473*0.0022046)</f>
        <v>0</v>
      </c>
      <c r="I473" s="130" t="s">
        <v>282</v>
      </c>
    </row>
    <row r="474" spans="1:9" x14ac:dyDescent="0.35">
      <c r="A474" s="168" t="s">
        <v>214</v>
      </c>
      <c r="B474" s="11"/>
      <c r="C474" s="12" t="s">
        <v>279</v>
      </c>
      <c r="D474" s="13" t="s">
        <v>225</v>
      </c>
      <c r="E474" s="40">
        <f>HEX2DEC(D474)*C470</f>
        <v>1</v>
      </c>
      <c r="F474" s="40">
        <f>E474</f>
        <v>1</v>
      </c>
      <c r="G474" s="13" t="s">
        <v>281</v>
      </c>
      <c r="H474" s="160">
        <f>(F474*0.0022046)</f>
        <v>2.2046000000000001E-3</v>
      </c>
      <c r="I474" s="130" t="s">
        <v>282</v>
      </c>
    </row>
    <row r="475" spans="1:9" ht="13.15" thickBot="1" x14ac:dyDescent="0.4">
      <c r="A475" s="165" t="s">
        <v>214</v>
      </c>
      <c r="B475" s="14"/>
      <c r="C475" s="14" t="s">
        <v>280</v>
      </c>
      <c r="D475" s="15" t="s">
        <v>371</v>
      </c>
      <c r="E475" s="68">
        <f>HEX2DEC(D475)*C470</f>
        <v>32767</v>
      </c>
      <c r="F475" s="68">
        <f>E475</f>
        <v>32767</v>
      </c>
      <c r="G475" s="15" t="s">
        <v>281</v>
      </c>
      <c r="H475" s="162">
        <f>(F475*0.0022046)</f>
        <v>72.238128200000006</v>
      </c>
      <c r="I475" s="133" t="s">
        <v>282</v>
      </c>
    </row>
    <row r="476" spans="1:9" ht="13.15" x14ac:dyDescent="0.4">
      <c r="A476" s="70" t="s">
        <v>215</v>
      </c>
      <c r="B476" s="16" t="s">
        <v>284</v>
      </c>
      <c r="C476" s="16" t="s">
        <v>59</v>
      </c>
      <c r="D476" s="10" t="s">
        <v>390</v>
      </c>
      <c r="E476" s="71"/>
      <c r="F476" s="86" t="s">
        <v>188</v>
      </c>
      <c r="G476" s="172" t="s">
        <v>420</v>
      </c>
      <c r="H476" s="86" t="s">
        <v>42</v>
      </c>
      <c r="I476" s="51" t="s">
        <v>421</v>
      </c>
    </row>
    <row r="477" spans="1:9" ht="13.15" x14ac:dyDescent="0.4">
      <c r="A477" s="166" t="s">
        <v>215</v>
      </c>
      <c r="B477" s="152" t="s">
        <v>392</v>
      </c>
      <c r="C477" s="27" t="s">
        <v>416</v>
      </c>
      <c r="D477" s="28" t="s">
        <v>73</v>
      </c>
      <c r="E477" s="41">
        <f>HEX2DEC(CONCATENATE(B477,D477))*C476</f>
        <v>-8192</v>
      </c>
      <c r="F477" s="41">
        <f>E477</f>
        <v>-8192</v>
      </c>
      <c r="G477" s="13" t="s">
        <v>420</v>
      </c>
      <c r="H477" s="94">
        <f>F477*(0.0040146309)</f>
        <v>-32.887856332799998</v>
      </c>
      <c r="I477" s="66" t="s">
        <v>421</v>
      </c>
    </row>
    <row r="478" spans="1:9" ht="13.15" x14ac:dyDescent="0.4">
      <c r="A478" s="168" t="s">
        <v>215</v>
      </c>
      <c r="B478" s="152" t="s">
        <v>392</v>
      </c>
      <c r="C478" s="12"/>
      <c r="D478" s="13" t="s">
        <v>419</v>
      </c>
      <c r="E478" s="41">
        <f>HEX2DEC(CONCATENATE(B478,D478))*C476</f>
        <v>-1</v>
      </c>
      <c r="F478" s="41">
        <f>E478</f>
        <v>-1</v>
      </c>
      <c r="G478" s="13" t="s">
        <v>420</v>
      </c>
      <c r="H478" s="94">
        <f>F478*(0.0040146309)</f>
        <v>-4.0146308999999998E-3</v>
      </c>
      <c r="I478" s="66" t="s">
        <v>421</v>
      </c>
    </row>
    <row r="479" spans="1:9" ht="13.15" x14ac:dyDescent="0.4">
      <c r="A479" s="168" t="s">
        <v>215</v>
      </c>
      <c r="B479" s="11"/>
      <c r="C479" s="12"/>
      <c r="D479" s="13" t="s">
        <v>37</v>
      </c>
      <c r="E479" s="41">
        <f>HEX2DEC(D479)*C476</f>
        <v>0</v>
      </c>
      <c r="F479" s="41">
        <f>E479</f>
        <v>0</v>
      </c>
      <c r="G479" s="13" t="s">
        <v>420</v>
      </c>
      <c r="H479" s="94">
        <f>F479*(0.0040146309)</f>
        <v>0</v>
      </c>
      <c r="I479" s="66" t="s">
        <v>421</v>
      </c>
    </row>
    <row r="480" spans="1:9" ht="13.15" x14ac:dyDescent="0.4">
      <c r="A480" s="168" t="s">
        <v>215</v>
      </c>
      <c r="B480" s="11"/>
      <c r="C480" s="12" t="s">
        <v>417</v>
      </c>
      <c r="D480" s="13" t="s">
        <v>330</v>
      </c>
      <c r="E480" s="41">
        <f>HEX2DEC(D480)*C476</f>
        <v>1</v>
      </c>
      <c r="F480" s="41">
        <f>E480</f>
        <v>1</v>
      </c>
      <c r="G480" s="13" t="s">
        <v>420</v>
      </c>
      <c r="H480" s="94">
        <f>F480*(0.0040146309)</f>
        <v>4.0146308999999998E-3</v>
      </c>
      <c r="I480" s="66" t="s">
        <v>421</v>
      </c>
    </row>
    <row r="481" spans="1:9" ht="13.5" thickBot="1" x14ac:dyDescent="0.45">
      <c r="A481" s="165" t="s">
        <v>215</v>
      </c>
      <c r="B481" s="14"/>
      <c r="C481" s="21" t="s">
        <v>418</v>
      </c>
      <c r="D481" s="15" t="s">
        <v>371</v>
      </c>
      <c r="E481" s="77">
        <f>HEX2DEC(D481)*C476</f>
        <v>8191.75</v>
      </c>
      <c r="F481" s="77">
        <f>E481</f>
        <v>8191.75</v>
      </c>
      <c r="G481" s="15" t="s">
        <v>420</v>
      </c>
      <c r="H481" s="102">
        <f>F481*(0.0040146309)</f>
        <v>32.886852675074998</v>
      </c>
      <c r="I481" s="93" t="s">
        <v>421</v>
      </c>
    </row>
    <row r="482" spans="1:9" x14ac:dyDescent="0.35">
      <c r="A482" s="70" t="s">
        <v>216</v>
      </c>
      <c r="B482" s="16" t="s">
        <v>343</v>
      </c>
      <c r="C482" s="16" t="s">
        <v>52</v>
      </c>
      <c r="D482" s="10" t="s">
        <v>390</v>
      </c>
      <c r="E482" s="71"/>
      <c r="F482" s="86" t="s">
        <v>41</v>
      </c>
      <c r="G482" s="172" t="s">
        <v>345</v>
      </c>
      <c r="H482" s="86"/>
      <c r="I482" s="51"/>
    </row>
    <row r="483" spans="1:9" x14ac:dyDescent="0.35">
      <c r="A483" s="166" t="s">
        <v>216</v>
      </c>
      <c r="B483" s="152" t="s">
        <v>392</v>
      </c>
      <c r="C483" s="27" t="s">
        <v>422</v>
      </c>
      <c r="D483" s="28" t="s">
        <v>73</v>
      </c>
      <c r="E483" s="41">
        <f>HEX2DEC(CONCATENATE(B483,D483))*C482</f>
        <v>-327.68</v>
      </c>
      <c r="F483" s="41">
        <f>E483</f>
        <v>-327.68</v>
      </c>
      <c r="G483" s="13" t="s">
        <v>345</v>
      </c>
      <c r="H483" s="135"/>
      <c r="I483" s="130"/>
    </row>
    <row r="484" spans="1:9" x14ac:dyDescent="0.35">
      <c r="A484" s="168" t="s">
        <v>216</v>
      </c>
      <c r="B484" s="152" t="s">
        <v>392</v>
      </c>
      <c r="C484" s="12"/>
      <c r="D484" s="13" t="s">
        <v>38</v>
      </c>
      <c r="E484" s="41">
        <f>HEX2DEC(CONCATENATE(B484,D484))*C482</f>
        <v>-0.01</v>
      </c>
      <c r="F484" s="41">
        <f>E484</f>
        <v>-0.01</v>
      </c>
      <c r="G484" s="13" t="s">
        <v>345</v>
      </c>
      <c r="H484" s="135"/>
      <c r="I484" s="130"/>
    </row>
    <row r="485" spans="1:9" x14ac:dyDescent="0.35">
      <c r="A485" s="168" t="s">
        <v>216</v>
      </c>
      <c r="B485" s="11"/>
      <c r="C485" s="12"/>
      <c r="D485" s="13" t="s">
        <v>37</v>
      </c>
      <c r="E485" s="41">
        <f>HEX2DEC(D485)*C482</f>
        <v>0</v>
      </c>
      <c r="F485" s="41">
        <f>E485</f>
        <v>0</v>
      </c>
      <c r="G485" s="13" t="s">
        <v>345</v>
      </c>
      <c r="H485" s="135"/>
      <c r="I485" s="130"/>
    </row>
    <row r="486" spans="1:9" x14ac:dyDescent="0.35">
      <c r="A486" s="168" t="s">
        <v>216</v>
      </c>
      <c r="B486" s="11"/>
      <c r="C486" s="12"/>
      <c r="D486" s="13" t="s">
        <v>225</v>
      </c>
      <c r="E486" s="41">
        <f>HEX2DEC(D486)*C482</f>
        <v>0.01</v>
      </c>
      <c r="F486" s="41">
        <f>E486</f>
        <v>0.01</v>
      </c>
      <c r="G486" s="13" t="s">
        <v>345</v>
      </c>
      <c r="H486" s="135"/>
      <c r="I486" s="130"/>
    </row>
    <row r="487" spans="1:9" ht="13.15" thickBot="1" x14ac:dyDescent="0.4">
      <c r="A487" s="165" t="s">
        <v>216</v>
      </c>
      <c r="B487" s="14"/>
      <c r="C487" s="42"/>
      <c r="D487" s="15" t="s">
        <v>371</v>
      </c>
      <c r="E487" s="77">
        <f>HEX2DEC(D487)*C482</f>
        <v>327.67</v>
      </c>
      <c r="F487" s="77">
        <f>E487</f>
        <v>327.67</v>
      </c>
      <c r="G487" s="15" t="s">
        <v>345</v>
      </c>
      <c r="H487" s="136"/>
      <c r="I487" s="133"/>
    </row>
    <row r="488" spans="1:9" x14ac:dyDescent="0.35">
      <c r="A488" s="70" t="s">
        <v>35</v>
      </c>
      <c r="B488" s="16" t="s">
        <v>343</v>
      </c>
      <c r="C488" s="16" t="s">
        <v>51</v>
      </c>
      <c r="D488" s="10" t="s">
        <v>390</v>
      </c>
      <c r="E488" s="71"/>
      <c r="F488" s="86" t="s">
        <v>40</v>
      </c>
      <c r="G488" s="172" t="s">
        <v>345</v>
      </c>
      <c r="H488" s="86"/>
      <c r="I488" s="51"/>
    </row>
    <row r="489" spans="1:9" x14ac:dyDescent="0.35">
      <c r="A489" s="166" t="s">
        <v>35</v>
      </c>
      <c r="B489" s="152" t="s">
        <v>392</v>
      </c>
      <c r="C489" s="27" t="s">
        <v>423</v>
      </c>
      <c r="D489" s="28" t="s">
        <v>73</v>
      </c>
      <c r="E489" s="73">
        <f>HEX2DEC(CONCATENATE(B489,D489))*C488</f>
        <v>-3276.8</v>
      </c>
      <c r="F489" s="73">
        <f>E489</f>
        <v>-3276.8</v>
      </c>
      <c r="G489" s="13" t="s">
        <v>345</v>
      </c>
      <c r="H489" s="135"/>
      <c r="I489" s="130"/>
    </row>
    <row r="490" spans="1:9" x14ac:dyDescent="0.35">
      <c r="A490" s="168" t="s">
        <v>35</v>
      </c>
      <c r="B490" s="152" t="s">
        <v>392</v>
      </c>
      <c r="C490" s="12"/>
      <c r="D490" s="13" t="s">
        <v>38</v>
      </c>
      <c r="E490" s="73">
        <f>HEX2DEC(CONCATENATE(B490,D490))*C488</f>
        <v>-0.1</v>
      </c>
      <c r="F490" s="73">
        <f>E490</f>
        <v>-0.1</v>
      </c>
      <c r="G490" s="13" t="s">
        <v>345</v>
      </c>
      <c r="H490" s="135"/>
      <c r="I490" s="130"/>
    </row>
    <row r="491" spans="1:9" x14ac:dyDescent="0.35">
      <c r="A491" s="168" t="s">
        <v>35</v>
      </c>
      <c r="B491" s="11"/>
      <c r="C491" s="12"/>
      <c r="D491" s="13" t="s">
        <v>37</v>
      </c>
      <c r="E491" s="73">
        <f>HEX2DEC(D491)*C488</f>
        <v>0</v>
      </c>
      <c r="F491" s="73">
        <f>E491</f>
        <v>0</v>
      </c>
      <c r="G491" s="13" t="s">
        <v>345</v>
      </c>
      <c r="H491" s="135"/>
      <c r="I491" s="130"/>
    </row>
    <row r="492" spans="1:9" x14ac:dyDescent="0.35">
      <c r="A492" s="168" t="s">
        <v>35</v>
      </c>
      <c r="B492" s="11"/>
      <c r="C492" s="12"/>
      <c r="D492" s="13" t="s">
        <v>225</v>
      </c>
      <c r="E492" s="73">
        <f>HEX2DEC(D492)*C488</f>
        <v>0.1</v>
      </c>
      <c r="F492" s="73">
        <f>E492</f>
        <v>0.1</v>
      </c>
      <c r="G492" s="13" t="s">
        <v>345</v>
      </c>
      <c r="H492" s="135"/>
      <c r="I492" s="130"/>
    </row>
    <row r="493" spans="1:9" ht="13.15" thickBot="1" x14ac:dyDescent="0.4">
      <c r="A493" s="165" t="s">
        <v>35</v>
      </c>
      <c r="B493" s="14"/>
      <c r="C493" s="42"/>
      <c r="D493" s="15" t="s">
        <v>371</v>
      </c>
      <c r="E493" s="75">
        <f>HEX2DEC(D493)*C488</f>
        <v>3276.7000000000003</v>
      </c>
      <c r="F493" s="75">
        <f>E493</f>
        <v>3276.7000000000003</v>
      </c>
      <c r="G493" s="15" t="s">
        <v>345</v>
      </c>
      <c r="H493" s="136"/>
      <c r="I493" s="133"/>
    </row>
    <row r="494" spans="1:9" x14ac:dyDescent="0.35">
      <c r="A494" s="70" t="s">
        <v>36</v>
      </c>
      <c r="B494" s="16" t="s">
        <v>348</v>
      </c>
      <c r="C494" s="16" t="s">
        <v>52</v>
      </c>
      <c r="D494" s="10" t="s">
        <v>390</v>
      </c>
      <c r="E494" s="71"/>
      <c r="F494" s="86" t="s">
        <v>188</v>
      </c>
      <c r="G494" s="172" t="s">
        <v>350</v>
      </c>
      <c r="H494" s="86" t="s">
        <v>41</v>
      </c>
      <c r="I494" s="173" t="s">
        <v>350</v>
      </c>
    </row>
    <row r="495" spans="1:9" x14ac:dyDescent="0.35">
      <c r="A495" s="166" t="s">
        <v>36</v>
      </c>
      <c r="B495" s="152" t="s">
        <v>392</v>
      </c>
      <c r="C495" s="27" t="s">
        <v>424</v>
      </c>
      <c r="D495" s="28" t="s">
        <v>73</v>
      </c>
      <c r="E495" s="41">
        <f>HEX2DEC(CONCATENATE(B495,D495))*C494</f>
        <v>-327.68</v>
      </c>
      <c r="F495" s="41">
        <f t="shared" ref="F495:F501" si="10">E495</f>
        <v>-327.68</v>
      </c>
      <c r="G495" s="13" t="s">
        <v>350</v>
      </c>
      <c r="H495" s="135">
        <f>F495/100</f>
        <v>-3.2768000000000002</v>
      </c>
      <c r="I495" s="130" t="s">
        <v>350</v>
      </c>
    </row>
    <row r="496" spans="1:9" x14ac:dyDescent="0.35">
      <c r="A496" s="166" t="s">
        <v>36</v>
      </c>
      <c r="B496" s="152" t="s">
        <v>392</v>
      </c>
      <c r="C496" s="27"/>
      <c r="D496" s="28" t="s">
        <v>425</v>
      </c>
      <c r="E496" s="41">
        <f>HEX2DEC(CONCATENATE(B496,D496))*C494</f>
        <v>-100</v>
      </c>
      <c r="F496" s="41">
        <f t="shared" si="10"/>
        <v>-100</v>
      </c>
      <c r="G496" s="13" t="s">
        <v>350</v>
      </c>
      <c r="H496" s="135">
        <f t="shared" ref="H496:H501" si="11">F496/100</f>
        <v>-1</v>
      </c>
      <c r="I496" s="130" t="s">
        <v>350</v>
      </c>
    </row>
    <row r="497" spans="1:9" x14ac:dyDescent="0.35">
      <c r="A497" s="168" t="s">
        <v>36</v>
      </c>
      <c r="B497" s="152" t="s">
        <v>392</v>
      </c>
      <c r="C497" s="12"/>
      <c r="D497" s="13" t="s">
        <v>38</v>
      </c>
      <c r="E497" s="41">
        <f>HEX2DEC(CONCATENATE(B497,D497))*C494</f>
        <v>-0.01</v>
      </c>
      <c r="F497" s="41">
        <f t="shared" si="10"/>
        <v>-0.01</v>
      </c>
      <c r="G497" s="13" t="s">
        <v>350</v>
      </c>
      <c r="H497" s="135">
        <f t="shared" si="11"/>
        <v>-1E-4</v>
      </c>
      <c r="I497" s="130" t="s">
        <v>350</v>
      </c>
    </row>
    <row r="498" spans="1:9" x14ac:dyDescent="0.35">
      <c r="A498" s="168" t="s">
        <v>36</v>
      </c>
      <c r="B498" s="11"/>
      <c r="C498" s="12"/>
      <c r="D498" s="13" t="s">
        <v>37</v>
      </c>
      <c r="E498" s="41">
        <f>HEX2DEC(D498)*C494</f>
        <v>0</v>
      </c>
      <c r="F498" s="41">
        <f t="shared" si="10"/>
        <v>0</v>
      </c>
      <c r="G498" s="13" t="s">
        <v>350</v>
      </c>
      <c r="H498" s="135">
        <f t="shared" si="11"/>
        <v>0</v>
      </c>
      <c r="I498" s="130" t="s">
        <v>350</v>
      </c>
    </row>
    <row r="499" spans="1:9" x14ac:dyDescent="0.35">
      <c r="A499" s="168" t="s">
        <v>36</v>
      </c>
      <c r="B499" s="11"/>
      <c r="C499" s="12"/>
      <c r="D499" s="13" t="s">
        <v>225</v>
      </c>
      <c r="E499" s="41">
        <f>HEX2DEC(D499)*C494</f>
        <v>0.01</v>
      </c>
      <c r="F499" s="41">
        <f t="shared" si="10"/>
        <v>0.01</v>
      </c>
      <c r="G499" s="13" t="s">
        <v>350</v>
      </c>
      <c r="H499" s="135">
        <f t="shared" si="11"/>
        <v>1E-4</v>
      </c>
      <c r="I499" s="130" t="s">
        <v>350</v>
      </c>
    </row>
    <row r="500" spans="1:9" x14ac:dyDescent="0.35">
      <c r="A500" s="167" t="s">
        <v>36</v>
      </c>
      <c r="B500" s="23"/>
      <c r="C500" s="12"/>
      <c r="D500" s="13" t="s">
        <v>351</v>
      </c>
      <c r="E500" s="41">
        <f>HEX2DEC(D500)*C494</f>
        <v>100</v>
      </c>
      <c r="F500" s="41">
        <f t="shared" si="10"/>
        <v>100</v>
      </c>
      <c r="G500" s="13" t="s">
        <v>350</v>
      </c>
      <c r="H500" s="135">
        <f t="shared" si="11"/>
        <v>1</v>
      </c>
      <c r="I500" s="130" t="s">
        <v>350</v>
      </c>
    </row>
    <row r="501" spans="1:9" ht="13.15" thickBot="1" x14ac:dyDescent="0.4">
      <c r="A501" s="165" t="s">
        <v>36</v>
      </c>
      <c r="B501" s="14"/>
      <c r="C501" s="114"/>
      <c r="D501" s="15" t="s">
        <v>371</v>
      </c>
      <c r="E501" s="77">
        <f>HEX2DEC(D501)*C494</f>
        <v>327.67</v>
      </c>
      <c r="F501" s="77">
        <f t="shared" si="10"/>
        <v>327.67</v>
      </c>
      <c r="G501" s="15" t="s">
        <v>350</v>
      </c>
      <c r="H501" s="136">
        <f t="shared" si="11"/>
        <v>3.2766999999999999</v>
      </c>
      <c r="I501" s="133" t="s">
        <v>350</v>
      </c>
    </row>
    <row r="502" spans="1:9" x14ac:dyDescent="0.35">
      <c r="A502" s="70" t="s">
        <v>217</v>
      </c>
      <c r="B502" s="16" t="s">
        <v>348</v>
      </c>
      <c r="C502" s="16" t="s">
        <v>426</v>
      </c>
      <c r="D502" s="10" t="s">
        <v>390</v>
      </c>
      <c r="E502" s="71"/>
      <c r="F502" s="86" t="s">
        <v>354</v>
      </c>
      <c r="G502" s="172" t="s">
        <v>350</v>
      </c>
      <c r="H502" s="86" t="s">
        <v>354</v>
      </c>
      <c r="I502" s="173" t="s">
        <v>350</v>
      </c>
    </row>
    <row r="503" spans="1:9" x14ac:dyDescent="0.35">
      <c r="A503" s="166" t="s">
        <v>217</v>
      </c>
      <c r="B503" s="152" t="s">
        <v>392</v>
      </c>
      <c r="C503" s="27" t="s">
        <v>427</v>
      </c>
      <c r="D503" s="28" t="s">
        <v>73</v>
      </c>
      <c r="E503" s="137">
        <f>HEX2DEC(CONCATENATE(B503,D503))*C502</f>
        <v>-100.007936</v>
      </c>
      <c r="F503" s="137">
        <f>E503</f>
        <v>-100.007936</v>
      </c>
      <c r="G503" s="13" t="s">
        <v>350</v>
      </c>
      <c r="H503" s="138">
        <f>F503/100</f>
        <v>-1.00007936</v>
      </c>
      <c r="I503" s="130" t="s">
        <v>350</v>
      </c>
    </row>
    <row r="504" spans="1:9" x14ac:dyDescent="0.35">
      <c r="A504" s="168" t="s">
        <v>217</v>
      </c>
      <c r="B504" s="152" t="s">
        <v>392</v>
      </c>
      <c r="C504" s="12"/>
      <c r="D504" s="13" t="s">
        <v>38</v>
      </c>
      <c r="E504" s="137">
        <f>HEX2DEC(CONCATENATE(B504,D504))*C502</f>
        <v>-3.052E-3</v>
      </c>
      <c r="F504" s="137">
        <f>E504</f>
        <v>-3.052E-3</v>
      </c>
      <c r="G504" s="13" t="s">
        <v>350</v>
      </c>
      <c r="H504" s="138">
        <f>F504/100</f>
        <v>-3.0519999999999999E-5</v>
      </c>
      <c r="I504" s="130" t="s">
        <v>350</v>
      </c>
    </row>
    <row r="505" spans="1:9" x14ac:dyDescent="0.35">
      <c r="A505" s="168" t="s">
        <v>217</v>
      </c>
      <c r="B505" s="11"/>
      <c r="C505" s="12"/>
      <c r="D505" s="13" t="s">
        <v>37</v>
      </c>
      <c r="E505" s="137">
        <f>HEX2DEC(D505)*C502</f>
        <v>0</v>
      </c>
      <c r="F505" s="137">
        <f>E505</f>
        <v>0</v>
      </c>
      <c r="G505" s="13" t="s">
        <v>350</v>
      </c>
      <c r="H505" s="138">
        <f>F505/100</f>
        <v>0</v>
      </c>
      <c r="I505" s="130" t="s">
        <v>350</v>
      </c>
    </row>
    <row r="506" spans="1:9" x14ac:dyDescent="0.35">
      <c r="A506" s="168" t="s">
        <v>217</v>
      </c>
      <c r="B506" s="11"/>
      <c r="C506" s="12"/>
      <c r="D506" s="13" t="s">
        <v>225</v>
      </c>
      <c r="E506" s="137">
        <f>HEX2DEC(D506)*C502</f>
        <v>3.052E-3</v>
      </c>
      <c r="F506" s="137">
        <f>E506</f>
        <v>3.052E-3</v>
      </c>
      <c r="G506" s="13" t="s">
        <v>350</v>
      </c>
      <c r="H506" s="138">
        <f>F506/100</f>
        <v>3.0519999999999999E-5</v>
      </c>
      <c r="I506" s="130" t="s">
        <v>350</v>
      </c>
    </row>
    <row r="507" spans="1:9" ht="13.15" thickBot="1" x14ac:dyDescent="0.4">
      <c r="A507" s="165" t="s">
        <v>217</v>
      </c>
      <c r="B507" s="14"/>
      <c r="C507" s="114"/>
      <c r="D507" s="15" t="s">
        <v>371</v>
      </c>
      <c r="E507" s="32">
        <f>HEX2DEC(D507)*C502</f>
        <v>100.004884</v>
      </c>
      <c r="F507" s="32">
        <f>E507</f>
        <v>100.004884</v>
      </c>
      <c r="G507" s="15" t="s">
        <v>350</v>
      </c>
      <c r="H507" s="139">
        <f>F507/100</f>
        <v>1.00004884</v>
      </c>
      <c r="I507" s="133" t="s">
        <v>350</v>
      </c>
    </row>
    <row r="508" spans="1:9" x14ac:dyDescent="0.35">
      <c r="A508" s="70" t="s">
        <v>218</v>
      </c>
      <c r="B508" s="16" t="s">
        <v>271</v>
      </c>
      <c r="C508" s="16" t="s">
        <v>428</v>
      </c>
      <c r="D508" s="10" t="s">
        <v>390</v>
      </c>
      <c r="E508" s="71"/>
      <c r="F508" s="86" t="s">
        <v>39</v>
      </c>
      <c r="G508" s="172" t="s">
        <v>430</v>
      </c>
      <c r="H508" s="86"/>
      <c r="I508" s="51"/>
    </row>
    <row r="509" spans="1:9" x14ac:dyDescent="0.35">
      <c r="A509" s="166" t="s">
        <v>218</v>
      </c>
      <c r="B509" s="152" t="s">
        <v>392</v>
      </c>
      <c r="C509" s="27" t="s">
        <v>429</v>
      </c>
      <c r="D509" s="28" t="s">
        <v>73</v>
      </c>
      <c r="E509" s="40">
        <f>HEX2DEC(CONCATENATE(B509,D509))*C508</f>
        <v>-65536</v>
      </c>
      <c r="F509" s="40">
        <f>E509</f>
        <v>-65536</v>
      </c>
      <c r="G509" s="13" t="s">
        <v>430</v>
      </c>
      <c r="H509" s="160"/>
      <c r="I509" s="130"/>
    </row>
    <row r="510" spans="1:9" x14ac:dyDescent="0.35">
      <c r="A510" s="168" t="s">
        <v>218</v>
      </c>
      <c r="B510" s="152" t="s">
        <v>392</v>
      </c>
      <c r="C510" s="12"/>
      <c r="D510" s="13" t="s">
        <v>38</v>
      </c>
      <c r="E510" s="40">
        <f>HEX2DEC(CONCATENATE(B510,D510))*C508</f>
        <v>-2</v>
      </c>
      <c r="F510" s="40">
        <f>E510</f>
        <v>-2</v>
      </c>
      <c r="G510" s="13" t="s">
        <v>430</v>
      </c>
      <c r="H510" s="160"/>
      <c r="I510" s="130"/>
    </row>
    <row r="511" spans="1:9" x14ac:dyDescent="0.35">
      <c r="A511" s="168" t="s">
        <v>218</v>
      </c>
      <c r="B511" s="11"/>
      <c r="C511" s="12"/>
      <c r="D511" s="13" t="s">
        <v>37</v>
      </c>
      <c r="E511" s="40">
        <f>HEX2DEC(D511)*C508</f>
        <v>0</v>
      </c>
      <c r="F511" s="40">
        <f>E511</f>
        <v>0</v>
      </c>
      <c r="G511" s="13" t="s">
        <v>430</v>
      </c>
      <c r="H511" s="160"/>
      <c r="I511" s="130"/>
    </row>
    <row r="512" spans="1:9" x14ac:dyDescent="0.35">
      <c r="A512" s="168" t="s">
        <v>218</v>
      </c>
      <c r="B512" s="11"/>
      <c r="C512" s="12" t="s">
        <v>279</v>
      </c>
      <c r="D512" s="13" t="s">
        <v>225</v>
      </c>
      <c r="E512" s="40">
        <f>HEX2DEC(D512)*C508</f>
        <v>2</v>
      </c>
      <c r="F512" s="40">
        <f>E512</f>
        <v>2</v>
      </c>
      <c r="G512" s="13" t="s">
        <v>430</v>
      </c>
      <c r="H512" s="160"/>
      <c r="I512" s="130"/>
    </row>
    <row r="513" spans="1:13" ht="13.15" thickBot="1" x14ac:dyDescent="0.4">
      <c r="A513" s="165" t="s">
        <v>218</v>
      </c>
      <c r="B513" s="14"/>
      <c r="C513" s="14" t="s">
        <v>280</v>
      </c>
      <c r="D513" s="15" t="s">
        <v>371</v>
      </c>
      <c r="E513" s="68">
        <f>HEX2DEC(D513)*C508</f>
        <v>65534</v>
      </c>
      <c r="F513" s="68">
        <f>E513</f>
        <v>65534</v>
      </c>
      <c r="G513" s="15" t="s">
        <v>430</v>
      </c>
      <c r="H513" s="162"/>
      <c r="I513" s="133"/>
    </row>
    <row r="514" spans="1:13" s="246" customFormat="1" x14ac:dyDescent="0.35">
      <c r="A514" s="239" t="s">
        <v>474</v>
      </c>
      <c r="B514" s="240" t="s">
        <v>405</v>
      </c>
      <c r="C514" s="240" t="s">
        <v>473</v>
      </c>
      <c r="D514" s="241" t="s">
        <v>390</v>
      </c>
      <c r="E514" s="242"/>
      <c r="F514" s="243" t="s">
        <v>229</v>
      </c>
      <c r="G514" s="241" t="s">
        <v>113</v>
      </c>
      <c r="H514" s="244" t="s">
        <v>124</v>
      </c>
      <c r="I514" s="245" t="s">
        <v>234</v>
      </c>
      <c r="K514" s="247"/>
      <c r="L514" s="247"/>
      <c r="M514" s="248"/>
    </row>
    <row r="515" spans="1:13" s="246" customFormat="1" x14ac:dyDescent="0.35">
      <c r="A515" s="166" t="s">
        <v>474</v>
      </c>
      <c r="B515" s="152" t="s">
        <v>392</v>
      </c>
      <c r="C515" s="249" t="s">
        <v>472</v>
      </c>
      <c r="D515" s="250" t="s">
        <v>73</v>
      </c>
      <c r="E515" s="251">
        <f>HEX2DEC(CONCATENATE(B515,D515))*C514</f>
        <v>-655360</v>
      </c>
      <c r="F515" s="251">
        <f>E515</f>
        <v>-655360</v>
      </c>
      <c r="G515" s="250" t="s">
        <v>113</v>
      </c>
      <c r="H515" s="252">
        <f>F515*(0.1450377)</f>
        <v>-95051.907072000002</v>
      </c>
      <c r="I515" s="253" t="s">
        <v>234</v>
      </c>
      <c r="K515" s="247"/>
      <c r="L515" s="247"/>
      <c r="M515" s="248"/>
    </row>
    <row r="516" spans="1:13" s="246" customFormat="1" x14ac:dyDescent="0.35">
      <c r="A516" s="168" t="s">
        <v>474</v>
      </c>
      <c r="B516" s="152" t="s">
        <v>392</v>
      </c>
      <c r="C516" s="254"/>
      <c r="D516" s="255" t="s">
        <v>38</v>
      </c>
      <c r="E516" s="251">
        <f>HEX2DEC(CONCATENATE(B516,D516))*C514</f>
        <v>-20</v>
      </c>
      <c r="F516" s="251">
        <f>E516</f>
        <v>-20</v>
      </c>
      <c r="G516" s="255" t="s">
        <v>113</v>
      </c>
      <c r="H516" s="252">
        <f>F516*(0.1450377)</f>
        <v>-2.9007540000000001</v>
      </c>
      <c r="I516" s="253" t="s">
        <v>234</v>
      </c>
      <c r="K516" s="247"/>
      <c r="L516" s="247"/>
      <c r="M516" s="248"/>
    </row>
    <row r="517" spans="1:13" s="246" customFormat="1" x14ac:dyDescent="0.35">
      <c r="A517" s="168" t="s">
        <v>474</v>
      </c>
      <c r="B517" s="256"/>
      <c r="C517" s="254"/>
      <c r="D517" s="255" t="s">
        <v>37</v>
      </c>
      <c r="E517" s="251">
        <f>HEX2DEC(D517)*C514</f>
        <v>0</v>
      </c>
      <c r="F517" s="251">
        <f>E517</f>
        <v>0</v>
      </c>
      <c r="G517" s="255" t="s">
        <v>113</v>
      </c>
      <c r="H517" s="252">
        <f>F517*(0.1450377)</f>
        <v>0</v>
      </c>
      <c r="I517" s="253" t="s">
        <v>234</v>
      </c>
      <c r="K517" s="247"/>
      <c r="L517" s="247"/>
      <c r="M517" s="248"/>
    </row>
    <row r="518" spans="1:13" s="246" customFormat="1" x14ac:dyDescent="0.35">
      <c r="A518" s="168" t="s">
        <v>474</v>
      </c>
      <c r="B518" s="256"/>
      <c r="C518" s="254" t="s">
        <v>114</v>
      </c>
      <c r="D518" s="255" t="s">
        <v>225</v>
      </c>
      <c r="E518" s="251">
        <f>HEX2DEC(D518)*C514</f>
        <v>20</v>
      </c>
      <c r="F518" s="251">
        <f>E518</f>
        <v>20</v>
      </c>
      <c r="G518" s="255" t="s">
        <v>113</v>
      </c>
      <c r="H518" s="252">
        <f>F518*(0.1450377)</f>
        <v>2.9007540000000001</v>
      </c>
      <c r="I518" s="253" t="s">
        <v>234</v>
      </c>
      <c r="K518" s="247"/>
      <c r="L518" s="247"/>
      <c r="M518" s="248"/>
    </row>
    <row r="519" spans="1:13" s="246" customFormat="1" ht="13.15" thickBot="1" x14ac:dyDescent="0.4">
      <c r="A519" s="165" t="s">
        <v>474</v>
      </c>
      <c r="B519" s="257"/>
      <c r="C519" s="258" t="s">
        <v>115</v>
      </c>
      <c r="D519" s="259" t="s">
        <v>371</v>
      </c>
      <c r="E519" s="260">
        <f>HEX2DEC(D519)*C514</f>
        <v>655340</v>
      </c>
      <c r="F519" s="260">
        <f>E519</f>
        <v>655340</v>
      </c>
      <c r="G519" s="259" t="s">
        <v>113</v>
      </c>
      <c r="H519" s="261">
        <f>F519*(0.1450377)</f>
        <v>95049.006318</v>
      </c>
      <c r="I519" s="262" t="s">
        <v>234</v>
      </c>
      <c r="K519" s="247"/>
      <c r="L519" s="247"/>
      <c r="M519" s="248"/>
    </row>
    <row r="520" spans="1:13" s="186" customFormat="1" x14ac:dyDescent="0.35">
      <c r="A520" s="180" t="s">
        <v>431</v>
      </c>
      <c r="B520" s="181" t="s">
        <v>405</v>
      </c>
      <c r="C520" s="181" t="s">
        <v>173</v>
      </c>
      <c r="D520" s="174" t="s">
        <v>390</v>
      </c>
      <c r="E520" s="182"/>
      <c r="F520" s="183" t="s">
        <v>229</v>
      </c>
      <c r="G520" s="174" t="s">
        <v>113</v>
      </c>
      <c r="H520" s="184" t="s">
        <v>124</v>
      </c>
      <c r="I520" s="176" t="s">
        <v>234</v>
      </c>
      <c r="K520" s="187"/>
      <c r="L520" s="187"/>
      <c r="M520" s="151"/>
    </row>
    <row r="521" spans="1:13" s="186" customFormat="1" x14ac:dyDescent="0.35">
      <c r="A521" s="166" t="s">
        <v>431</v>
      </c>
      <c r="B521" s="152" t="s">
        <v>392</v>
      </c>
      <c r="C521" s="188" t="s">
        <v>432</v>
      </c>
      <c r="D521" s="189" t="s">
        <v>73</v>
      </c>
      <c r="E521" s="207">
        <f>HEX2DEC(CONCATENATE(B521,D521))*C520</f>
        <v>-327680</v>
      </c>
      <c r="F521" s="207">
        <f>E521</f>
        <v>-327680</v>
      </c>
      <c r="G521" s="189" t="s">
        <v>113</v>
      </c>
      <c r="H521" s="237">
        <f>F521*(0.1450377)</f>
        <v>-47525.953536000001</v>
      </c>
      <c r="I521" s="194" t="s">
        <v>234</v>
      </c>
      <c r="K521" s="187"/>
      <c r="L521" s="187"/>
      <c r="M521" s="151"/>
    </row>
    <row r="522" spans="1:13" s="186" customFormat="1" x14ac:dyDescent="0.35">
      <c r="A522" s="168" t="s">
        <v>431</v>
      </c>
      <c r="B522" s="152" t="s">
        <v>392</v>
      </c>
      <c r="C522" s="193"/>
      <c r="D522" s="178" t="s">
        <v>38</v>
      </c>
      <c r="E522" s="207">
        <f>HEX2DEC(CONCATENATE(B522,D522))*C520</f>
        <v>-10</v>
      </c>
      <c r="F522" s="207">
        <f>E522</f>
        <v>-10</v>
      </c>
      <c r="G522" s="178" t="s">
        <v>113</v>
      </c>
      <c r="H522" s="237">
        <f>F522*(0.1450377)</f>
        <v>-1.450377</v>
      </c>
      <c r="I522" s="194" t="s">
        <v>234</v>
      </c>
      <c r="K522" s="187"/>
      <c r="L522" s="187"/>
      <c r="M522" s="151"/>
    </row>
    <row r="523" spans="1:13" s="186" customFormat="1" x14ac:dyDescent="0.35">
      <c r="A523" s="168" t="s">
        <v>431</v>
      </c>
      <c r="B523" s="211"/>
      <c r="C523" s="193"/>
      <c r="D523" s="178" t="s">
        <v>37</v>
      </c>
      <c r="E523" s="207">
        <f>HEX2DEC(D523)*C520</f>
        <v>0</v>
      </c>
      <c r="F523" s="207">
        <f>E523</f>
        <v>0</v>
      </c>
      <c r="G523" s="178" t="s">
        <v>113</v>
      </c>
      <c r="H523" s="237">
        <f>F523*(0.1450377)</f>
        <v>0</v>
      </c>
      <c r="I523" s="194" t="s">
        <v>234</v>
      </c>
      <c r="K523" s="187"/>
      <c r="L523" s="187"/>
      <c r="M523" s="151"/>
    </row>
    <row r="524" spans="1:13" s="186" customFormat="1" x14ac:dyDescent="0.35">
      <c r="A524" s="168" t="s">
        <v>431</v>
      </c>
      <c r="B524" s="211"/>
      <c r="C524" s="193" t="s">
        <v>114</v>
      </c>
      <c r="D524" s="178" t="s">
        <v>225</v>
      </c>
      <c r="E524" s="207">
        <f>HEX2DEC(D524)*C520</f>
        <v>10</v>
      </c>
      <c r="F524" s="207">
        <f>E524</f>
        <v>10</v>
      </c>
      <c r="G524" s="178" t="s">
        <v>113</v>
      </c>
      <c r="H524" s="237">
        <f>F524*(0.1450377)</f>
        <v>1.450377</v>
      </c>
      <c r="I524" s="194" t="s">
        <v>234</v>
      </c>
      <c r="K524" s="187"/>
      <c r="L524" s="187"/>
      <c r="M524" s="151"/>
    </row>
    <row r="525" spans="1:13" s="186" customFormat="1" ht="13.15" thickBot="1" x14ac:dyDescent="0.4">
      <c r="A525" s="165" t="s">
        <v>431</v>
      </c>
      <c r="B525" s="98"/>
      <c r="C525" s="42" t="s">
        <v>115</v>
      </c>
      <c r="D525" s="179" t="s">
        <v>371</v>
      </c>
      <c r="E525" s="212">
        <f>HEX2DEC(D525)*C520</f>
        <v>327670</v>
      </c>
      <c r="F525" s="212">
        <f>E525</f>
        <v>327670</v>
      </c>
      <c r="G525" s="179" t="s">
        <v>113</v>
      </c>
      <c r="H525" s="238">
        <f>F525*(0.1450377)</f>
        <v>47524.503159</v>
      </c>
      <c r="I525" s="221" t="s">
        <v>234</v>
      </c>
      <c r="K525" s="187"/>
      <c r="L525" s="187"/>
      <c r="M525" s="151"/>
    </row>
    <row r="526" spans="1:13" x14ac:dyDescent="0.35">
      <c r="A526" s="70" t="s">
        <v>433</v>
      </c>
      <c r="B526" s="16" t="s">
        <v>405</v>
      </c>
      <c r="C526" s="16" t="s">
        <v>52</v>
      </c>
      <c r="D526" s="10" t="s">
        <v>390</v>
      </c>
      <c r="E526" s="71"/>
      <c r="F526" s="86" t="s">
        <v>41</v>
      </c>
      <c r="G526" s="174" t="s">
        <v>113</v>
      </c>
      <c r="H526" s="46" t="s">
        <v>415</v>
      </c>
      <c r="I526" s="176" t="s">
        <v>234</v>
      </c>
    </row>
    <row r="527" spans="1:13" x14ac:dyDescent="0.35">
      <c r="A527" s="166" t="s">
        <v>433</v>
      </c>
      <c r="B527" s="152" t="s">
        <v>392</v>
      </c>
      <c r="C527" s="27" t="s">
        <v>242</v>
      </c>
      <c r="D527" s="28" t="s">
        <v>73</v>
      </c>
      <c r="E527" s="41">
        <f>HEX2DEC(CONCATENATE(B527,D527))*C526</f>
        <v>-327.68</v>
      </c>
      <c r="F527" s="41">
        <f>E527</f>
        <v>-327.68</v>
      </c>
      <c r="G527" s="28" t="s">
        <v>113</v>
      </c>
      <c r="H527" s="82">
        <f>F527*(0.1450377)</f>
        <v>-47.525953535999996</v>
      </c>
      <c r="I527" s="89" t="s">
        <v>234</v>
      </c>
    </row>
    <row r="528" spans="1:13" x14ac:dyDescent="0.35">
      <c r="A528" s="168" t="s">
        <v>433</v>
      </c>
      <c r="B528" s="152" t="s">
        <v>392</v>
      </c>
      <c r="C528" s="12"/>
      <c r="D528" s="13" t="s">
        <v>38</v>
      </c>
      <c r="E528" s="41">
        <f>HEX2DEC(CONCATENATE(B528,D528))*C526</f>
        <v>-0.01</v>
      </c>
      <c r="F528" s="41">
        <f>E528</f>
        <v>-0.01</v>
      </c>
      <c r="G528" s="13" t="s">
        <v>113</v>
      </c>
      <c r="H528" s="82">
        <f>F528*(0.1450377)</f>
        <v>-1.4503769999999999E-3</v>
      </c>
      <c r="I528" s="89" t="s">
        <v>234</v>
      </c>
    </row>
    <row r="529" spans="1:9" x14ac:dyDescent="0.35">
      <c r="A529" s="168" t="s">
        <v>433</v>
      </c>
      <c r="B529" s="11"/>
      <c r="C529" s="12"/>
      <c r="D529" s="13" t="s">
        <v>37</v>
      </c>
      <c r="E529" s="41">
        <f>HEX2DEC(D529)*C526</f>
        <v>0</v>
      </c>
      <c r="F529" s="41">
        <f>E529</f>
        <v>0</v>
      </c>
      <c r="G529" s="13" t="s">
        <v>113</v>
      </c>
      <c r="H529" s="82">
        <f>F529*(0.1450377)</f>
        <v>0</v>
      </c>
      <c r="I529" s="89" t="s">
        <v>234</v>
      </c>
    </row>
    <row r="530" spans="1:9" x14ac:dyDescent="0.35">
      <c r="A530" s="168" t="s">
        <v>433</v>
      </c>
      <c r="B530" s="11"/>
      <c r="C530" s="12" t="s">
        <v>114</v>
      </c>
      <c r="D530" s="13" t="s">
        <v>225</v>
      </c>
      <c r="E530" s="41">
        <f>HEX2DEC(D530)*C526</f>
        <v>0.01</v>
      </c>
      <c r="F530" s="41">
        <f>E530</f>
        <v>0.01</v>
      </c>
      <c r="G530" s="13" t="s">
        <v>113</v>
      </c>
      <c r="H530" s="82">
        <f>F530*(0.1450377)</f>
        <v>1.4503769999999999E-3</v>
      </c>
      <c r="I530" s="89" t="s">
        <v>234</v>
      </c>
    </row>
    <row r="531" spans="1:9" ht="13.15" thickBot="1" x14ac:dyDescent="0.4">
      <c r="A531" s="165" t="s">
        <v>433</v>
      </c>
      <c r="B531" s="14"/>
      <c r="C531" s="42" t="s">
        <v>115</v>
      </c>
      <c r="D531" s="15" t="s">
        <v>371</v>
      </c>
      <c r="E531" s="77">
        <f>HEX2DEC(D531)*C526</f>
        <v>327.67</v>
      </c>
      <c r="F531" s="77">
        <f>E531</f>
        <v>327.67</v>
      </c>
      <c r="G531" s="15" t="s">
        <v>113</v>
      </c>
      <c r="H531" s="95">
        <f>F531*(0.1450377)</f>
        <v>47.524503158999998</v>
      </c>
      <c r="I531" s="93" t="s">
        <v>234</v>
      </c>
    </row>
    <row r="532" spans="1:9" x14ac:dyDescent="0.35">
      <c r="A532" s="180" t="s">
        <v>475</v>
      </c>
      <c r="B532" s="16" t="s">
        <v>405</v>
      </c>
      <c r="C532" s="16" t="s">
        <v>53</v>
      </c>
      <c r="D532" s="10" t="s">
        <v>390</v>
      </c>
      <c r="E532" s="71"/>
      <c r="F532" s="86" t="s">
        <v>42</v>
      </c>
      <c r="G532" s="174" t="s">
        <v>113</v>
      </c>
      <c r="H532" s="46" t="s">
        <v>283</v>
      </c>
      <c r="I532" s="176" t="s">
        <v>234</v>
      </c>
    </row>
    <row r="533" spans="1:9" x14ac:dyDescent="0.35">
      <c r="A533" s="166" t="s">
        <v>433</v>
      </c>
      <c r="B533" s="152" t="s">
        <v>392</v>
      </c>
      <c r="C533" s="27" t="s">
        <v>434</v>
      </c>
      <c r="D533" s="28" t="s">
        <v>73</v>
      </c>
      <c r="E533" s="39">
        <f>HEX2DEC(CONCATENATE(B533,D533))*C532</f>
        <v>-32.768000000000001</v>
      </c>
      <c r="F533" s="39">
        <f>E533</f>
        <v>-32.768000000000001</v>
      </c>
      <c r="G533" s="28" t="s">
        <v>113</v>
      </c>
      <c r="H533" s="163">
        <f>F533*(0.1450377)</f>
        <v>-4.7525953535999994</v>
      </c>
      <c r="I533" s="89" t="s">
        <v>234</v>
      </c>
    </row>
    <row r="534" spans="1:9" x14ac:dyDescent="0.35">
      <c r="A534" s="168" t="s">
        <v>433</v>
      </c>
      <c r="B534" s="152" t="s">
        <v>392</v>
      </c>
      <c r="C534" s="12"/>
      <c r="D534" s="13" t="s">
        <v>38</v>
      </c>
      <c r="E534" s="39">
        <f>HEX2DEC(CONCATENATE(B534,D534))*C532</f>
        <v>-1E-3</v>
      </c>
      <c r="F534" s="39">
        <f>E534</f>
        <v>-1E-3</v>
      </c>
      <c r="G534" s="13" t="s">
        <v>113</v>
      </c>
      <c r="H534" s="163">
        <f>F534*(0.1450377)</f>
        <v>-1.4503769999999998E-4</v>
      </c>
      <c r="I534" s="89" t="s">
        <v>234</v>
      </c>
    </row>
    <row r="535" spans="1:9" x14ac:dyDescent="0.35">
      <c r="A535" s="168" t="s">
        <v>433</v>
      </c>
      <c r="B535" s="11"/>
      <c r="C535" s="12"/>
      <c r="D535" s="13" t="s">
        <v>37</v>
      </c>
      <c r="E535" s="39">
        <f>HEX2DEC(D535)*C532</f>
        <v>0</v>
      </c>
      <c r="F535" s="39">
        <f>E535</f>
        <v>0</v>
      </c>
      <c r="G535" s="13" t="s">
        <v>113</v>
      </c>
      <c r="H535" s="163">
        <f>F535*(0.1450377)</f>
        <v>0</v>
      </c>
      <c r="I535" s="89" t="s">
        <v>234</v>
      </c>
    </row>
    <row r="536" spans="1:9" x14ac:dyDescent="0.35">
      <c r="A536" s="168" t="s">
        <v>433</v>
      </c>
      <c r="B536" s="11"/>
      <c r="C536" s="12" t="s">
        <v>114</v>
      </c>
      <c r="D536" s="13" t="s">
        <v>225</v>
      </c>
      <c r="E536" s="39">
        <f>HEX2DEC(D536)*C532</f>
        <v>1E-3</v>
      </c>
      <c r="F536" s="39">
        <f>E536</f>
        <v>1E-3</v>
      </c>
      <c r="G536" s="13" t="s">
        <v>113</v>
      </c>
      <c r="H536" s="163">
        <f>F536*(0.1450377)</f>
        <v>1.4503769999999998E-4</v>
      </c>
      <c r="I536" s="89" t="s">
        <v>234</v>
      </c>
    </row>
    <row r="537" spans="1:9" ht="13.15" thickBot="1" x14ac:dyDescent="0.4">
      <c r="A537" s="165" t="s">
        <v>433</v>
      </c>
      <c r="B537" s="14"/>
      <c r="C537" s="42" t="s">
        <v>115</v>
      </c>
      <c r="D537" s="15" t="s">
        <v>371</v>
      </c>
      <c r="E537" s="79">
        <f>HEX2DEC(D537)*C532</f>
        <v>32.767000000000003</v>
      </c>
      <c r="F537" s="79">
        <f>E537</f>
        <v>32.767000000000003</v>
      </c>
      <c r="G537" s="15" t="s">
        <v>113</v>
      </c>
      <c r="H537" s="102">
        <f>F537*(0.1450377)</f>
        <v>4.7524503159</v>
      </c>
      <c r="I537" s="93" t="s">
        <v>234</v>
      </c>
    </row>
    <row r="538" spans="1:9" ht="13.15" x14ac:dyDescent="0.4">
      <c r="A538" s="70" t="s">
        <v>435</v>
      </c>
      <c r="B538" s="16" t="s">
        <v>405</v>
      </c>
      <c r="C538" s="16" t="s">
        <v>59</v>
      </c>
      <c r="D538" s="10" t="s">
        <v>390</v>
      </c>
      <c r="E538" s="71"/>
      <c r="F538" s="86" t="s">
        <v>188</v>
      </c>
      <c r="G538" s="172" t="s">
        <v>436</v>
      </c>
      <c r="H538" s="86" t="s">
        <v>42</v>
      </c>
      <c r="I538" s="51" t="s">
        <v>437</v>
      </c>
    </row>
    <row r="539" spans="1:9" ht="13.15" x14ac:dyDescent="0.4">
      <c r="A539" s="166" t="s">
        <v>435</v>
      </c>
      <c r="B539" s="152" t="s">
        <v>392</v>
      </c>
      <c r="C539" s="27" t="s">
        <v>174</v>
      </c>
      <c r="D539" s="28" t="s">
        <v>73</v>
      </c>
      <c r="E539" s="41">
        <f>HEX2DEC(CONCATENATE(B539,D539))*C538</f>
        <v>-8192</v>
      </c>
      <c r="F539" s="41">
        <f>E539</f>
        <v>-8192</v>
      </c>
      <c r="G539" s="13" t="s">
        <v>436</v>
      </c>
      <c r="H539" s="94">
        <f>F539*(0.0040146309)</f>
        <v>-32.887856332799998</v>
      </c>
      <c r="I539" s="66" t="s">
        <v>437</v>
      </c>
    </row>
    <row r="540" spans="1:9" ht="13.15" x14ac:dyDescent="0.4">
      <c r="A540" s="168" t="s">
        <v>435</v>
      </c>
      <c r="B540" s="152" t="s">
        <v>392</v>
      </c>
      <c r="C540" s="12"/>
      <c r="D540" s="13" t="s">
        <v>419</v>
      </c>
      <c r="E540" s="41">
        <f>HEX2DEC(CONCATENATE(B540,D540))*C538</f>
        <v>-1</v>
      </c>
      <c r="F540" s="41">
        <f>E540</f>
        <v>-1</v>
      </c>
      <c r="G540" s="13" t="s">
        <v>436</v>
      </c>
      <c r="H540" s="94">
        <f>F540*(0.0040146309)</f>
        <v>-4.0146308999999998E-3</v>
      </c>
      <c r="I540" s="66" t="s">
        <v>437</v>
      </c>
    </row>
    <row r="541" spans="1:9" ht="13.15" x14ac:dyDescent="0.4">
      <c r="A541" s="168" t="s">
        <v>435</v>
      </c>
      <c r="B541" s="11"/>
      <c r="C541" s="12"/>
      <c r="D541" s="13" t="s">
        <v>37</v>
      </c>
      <c r="E541" s="41">
        <f>HEX2DEC(D541)*C538</f>
        <v>0</v>
      </c>
      <c r="F541" s="41">
        <f>E541</f>
        <v>0</v>
      </c>
      <c r="G541" s="13" t="s">
        <v>436</v>
      </c>
      <c r="H541" s="94">
        <f>F541*(0.0040146309)</f>
        <v>0</v>
      </c>
      <c r="I541" s="66" t="s">
        <v>437</v>
      </c>
    </row>
    <row r="542" spans="1:9" ht="13.15" x14ac:dyDescent="0.4">
      <c r="A542" s="168" t="s">
        <v>435</v>
      </c>
      <c r="B542" s="11"/>
      <c r="C542" s="12" t="s">
        <v>417</v>
      </c>
      <c r="D542" s="13" t="s">
        <v>330</v>
      </c>
      <c r="E542" s="41">
        <f>HEX2DEC(D542)*C538</f>
        <v>1</v>
      </c>
      <c r="F542" s="41">
        <f>E542</f>
        <v>1</v>
      </c>
      <c r="G542" s="13" t="s">
        <v>436</v>
      </c>
      <c r="H542" s="94">
        <f>F542*(0.0040146309)</f>
        <v>4.0146308999999998E-3</v>
      </c>
      <c r="I542" s="66" t="s">
        <v>437</v>
      </c>
    </row>
    <row r="543" spans="1:9" ht="13.5" thickBot="1" x14ac:dyDescent="0.45">
      <c r="A543" s="165" t="s">
        <v>435</v>
      </c>
      <c r="B543" s="14"/>
      <c r="C543" s="21" t="s">
        <v>418</v>
      </c>
      <c r="D543" s="15" t="s">
        <v>371</v>
      </c>
      <c r="E543" s="77">
        <f>HEX2DEC(D543)*C538</f>
        <v>8191.75</v>
      </c>
      <c r="F543" s="77">
        <f>E543</f>
        <v>8191.75</v>
      </c>
      <c r="G543" s="15" t="s">
        <v>436</v>
      </c>
      <c r="H543" s="102">
        <f>F543*(0.0040146309)</f>
        <v>32.886852675074998</v>
      </c>
      <c r="I543" s="93" t="s">
        <v>437</v>
      </c>
    </row>
    <row r="544" spans="1:9" x14ac:dyDescent="0.35">
      <c r="E544" s="34"/>
    </row>
    <row r="545" spans="5:5" x14ac:dyDescent="0.35">
      <c r="E545" s="34"/>
    </row>
    <row r="546" spans="5:5" x14ac:dyDescent="0.35">
      <c r="E546" s="34"/>
    </row>
    <row r="547" spans="5:5" x14ac:dyDescent="0.35">
      <c r="E547" s="34"/>
    </row>
    <row r="548" spans="5:5" x14ac:dyDescent="0.35">
      <c r="E548" s="34"/>
    </row>
    <row r="549" spans="5:5" x14ac:dyDescent="0.35">
      <c r="E549" s="34"/>
    </row>
    <row r="550" spans="5:5" x14ac:dyDescent="0.35">
      <c r="E550" s="34"/>
    </row>
    <row r="551" spans="5:5" x14ac:dyDescent="0.35">
      <c r="E551" s="34"/>
    </row>
    <row r="552" spans="5:5" x14ac:dyDescent="0.35">
      <c r="E552" s="34"/>
    </row>
    <row r="553" spans="5:5" x14ac:dyDescent="0.35">
      <c r="E553" s="34"/>
    </row>
    <row r="554" spans="5:5" x14ac:dyDescent="0.35">
      <c r="E554" s="34"/>
    </row>
    <row r="555" spans="5:5" x14ac:dyDescent="0.35">
      <c r="E555" s="34"/>
    </row>
    <row r="556" spans="5:5" x14ac:dyDescent="0.35">
      <c r="E556" s="34"/>
    </row>
    <row r="557" spans="5:5" x14ac:dyDescent="0.35">
      <c r="E557" s="34"/>
    </row>
    <row r="558" spans="5:5" x14ac:dyDescent="0.35">
      <c r="E558" s="34"/>
    </row>
  </sheetData>
  <autoFilter ref="A2:AV558"/>
  <customSheetViews>
    <customSheetView guid="{5F452B13-A369-42A4-9CF3-F2A6C45D1442}" showRuler="0" topLeftCell="F1">
      <selection activeCell="Q28" sqref="Q28"/>
      <pageMargins left="0.75" right="0.75" top="1" bottom="1" header="0.5" footer="0.5"/>
      <pageSetup paperSize="9" orientation="portrait" r:id="rId1"/>
      <headerFooter alignWithMargins="0"/>
    </customSheetView>
    <customSheetView guid="{85156661-CBE0-4E0C-831A-9FC01A4A4796}" showRuler="0" topLeftCell="A10">
      <selection activeCell="E5" sqref="E5"/>
      <pageMargins left="0.75" right="0.75" top="1" bottom="1" header="0.5" footer="0.5"/>
      <headerFooter alignWithMargins="0"/>
    </customSheetView>
  </customSheetViews>
  <phoneticPr fontId="4" type="noConversion"/>
  <pageMargins left="0.75" right="0.75" top="1" bottom="1" header="0.5" footer="0.5"/>
  <pageSetup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Definitions</vt:lpstr>
      <vt:lpstr>Annex E - Units and Scaling</vt:lpstr>
      <vt:lpstr>Definitions!_Ref135208233</vt:lpstr>
      <vt:lpstr>Definitions!_Toc90447598</vt:lpstr>
      <vt:lpstr>Definitions!_Toc90447599</vt:lpstr>
    </vt:vector>
  </TitlesOfParts>
  <Company>Ford Motor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pbaltusi</dc:creator>
  <cp:lastModifiedBy>leiwei</cp:lastModifiedBy>
  <cp:lastPrinted>2006-07-12T15:17:55Z</cp:lastPrinted>
  <dcterms:created xsi:type="dcterms:W3CDTF">2006-03-06T14:18:19Z</dcterms:created>
  <dcterms:modified xsi:type="dcterms:W3CDTF">2026-04-14T05:10:15Z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