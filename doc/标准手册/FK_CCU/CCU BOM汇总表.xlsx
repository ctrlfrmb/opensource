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tabRatio="612" activeTab="2"/>
  </bookViews>
  <sheets>
    <sheet name="BOM 总表" sheetId="15" r:id="rId1"/>
    <sheet name="测试-程新开" sheetId="3" r:id="rId2"/>
    <sheet name="测试-孙孝友" sheetId="8" r:id="rId3"/>
    <sheet name="测试-潘显斌" sheetId="13" r:id="rId4"/>
    <sheet name="测试-王丽芬" sheetId="4" r:id="rId5"/>
    <sheet name="电气-陈磊" sheetId="9" r:id="rId6"/>
    <sheet name="电气-崇洪斌" sheetId="6" r:id="rId7"/>
    <sheet name="负载箱-王鑫" sheetId="12" r:id="rId8"/>
    <sheet name="LVDS-李凯林" sheetId="5" r:id="rId9"/>
    <sheet name="研发-刘孟龙" sheetId="10" r:id="rId10"/>
    <sheet name="结构-谷荣" sheetId="7" r:id="rId11"/>
    <sheet name="结构-张云进" sheetId="11" r:id="rId12"/>
    <sheet name="A2B-王雪冬" sheetId="14" r:id="rId13"/>
  </sheets>
  <definedNames>
    <definedName name="_xlnm._FilterDatabase" localSheetId="1" hidden="1">'测试-程新开'!$A$1:$M$55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<sst xmlns="http://schemas.openxmlformats.org/spreadsheetml/2006/main" count="4494" uniqueCount="1179">
  <si>
    <t>编号</t>
  </si>
  <si>
    <t>部件名称</t>
  </si>
  <si>
    <t>品牌</t>
  </si>
  <si>
    <t>型号/型材</t>
  </si>
  <si>
    <t>数量</t>
  </si>
  <si>
    <t>机柜</t>
  </si>
  <si>
    <t>众士天成</t>
  </si>
  <si>
    <t>38U* 800* 1000（D）</t>
  </si>
  <si>
    <t>综测仪</t>
  </si>
  <si>
    <t>R&amp;S</t>
  </si>
  <si>
    <t>CMW100</t>
  </si>
  <si>
    <t>GNSS信号发生器</t>
  </si>
  <si>
    <t>中冀联合</t>
  </si>
  <si>
    <t>GNSS-6000</t>
  </si>
  <si>
    <t>任意信号发生器</t>
  </si>
  <si>
    <t>普源</t>
  </si>
  <si>
    <t>DSG815</t>
  </si>
  <si>
    <t>显示屏</t>
  </si>
  <si>
    <t>尚翊便携</t>
  </si>
  <si>
    <t>ROG枪神8P|18寸miniled</t>
  </si>
  <si>
    <t>键盘鼠标托盘</t>
  </si>
  <si>
    <t>7035灰白含键鼠USB接口</t>
  </si>
  <si>
    <t>工控机</t>
  </si>
  <si>
    <t>智微智能</t>
  </si>
  <si>
    <t>AIoT0-W680D i9-12900/32G/1T SSD+1THDD/7PCIE/14COM</t>
  </si>
  <si>
    <t>模拟量采集模块</t>
  </si>
  <si>
    <t>FK</t>
  </si>
  <si>
    <t>DAB信号发生器</t>
  </si>
  <si>
    <t>芯启源</t>
  </si>
  <si>
    <t>DSG-810S</t>
  </si>
  <si>
    <t>pending</t>
  </si>
  <si>
    <t>DAB线缆</t>
  </si>
  <si>
    <t>博扬</t>
  </si>
  <si>
    <t>SMA(公）- BNC（公）（0-4G），2m</t>
  </si>
  <si>
    <t>24口千兆交换机</t>
  </si>
  <si>
    <t>华三</t>
  </si>
  <si>
    <t>S26GF-U升级版</t>
  </si>
  <si>
    <t>16口千兆交换机</t>
  </si>
  <si>
    <t>MIniS16G-U</t>
  </si>
  <si>
    <t>PCIE千兆四口网卡</t>
  </si>
  <si>
    <t>LR-LINK 联瑞</t>
  </si>
  <si>
    <t>LRES1057PT</t>
  </si>
  <si>
    <t>16口三层带VLAN交换机</t>
  </si>
  <si>
    <t>H3C</t>
  </si>
  <si>
    <t>S5130V2-20P-LI 16 Port</t>
  </si>
  <si>
    <t>8口交换机</t>
  </si>
  <si>
    <t>TP-LINK</t>
  </si>
  <si>
    <t>8口千兆交换机</t>
  </si>
  <si>
    <t>可编程电源</t>
  </si>
  <si>
    <t>ITECH</t>
  </si>
  <si>
    <t>IT6726C</t>
  </si>
  <si>
    <t>UPS</t>
  </si>
  <si>
    <t>普华PUHUA</t>
  </si>
  <si>
    <t>D1K</t>
  </si>
  <si>
    <t>隔直偏置器 （射频切换箱）</t>
  </si>
  <si>
    <t>芯启源（XINQY）</t>
  </si>
  <si>
    <t>XQY-BTE-0.02/8.5G-SI, 接线柱供电</t>
  </si>
  <si>
    <t>一分六功分器（射频切换箱）</t>
  </si>
  <si>
    <t>QY-PS6-DC/3-SEY</t>
  </si>
  <si>
    <t>XQY-PS6-0.5/6-SE</t>
  </si>
  <si>
    <t>一分四功分器（射频切换箱）</t>
  </si>
  <si>
    <t>XQY-PS4-0.5/6-SE</t>
  </si>
  <si>
    <t>一分二功分器（射频切换箱）</t>
  </si>
  <si>
    <t>XQY-PS2-0.5/6-SI</t>
  </si>
  <si>
    <t>SP6T射频开关（射频切换箱）</t>
  </si>
  <si>
    <t>QM</t>
  </si>
  <si>
    <t>QM-SP6T-DT6D</t>
  </si>
  <si>
    <t>射频线缆（射频切换箱）</t>
  </si>
  <si>
    <t>SMA(公）- SMA(公)(0-8G），L=20cm</t>
  </si>
  <si>
    <t>SMA(公）- SMA(公)(0-8G），L=10cm</t>
  </si>
  <si>
    <t>SMA(公）- SMA(公)(0-8G），L=30cm</t>
  </si>
  <si>
    <t>SMA转接头（射频切换箱）</t>
  </si>
  <si>
    <t>SMA(母）- SMA(母）SMA-KFKGD-18G</t>
  </si>
  <si>
    <t>射频集束线缆（射频切换箱）</t>
  </si>
  <si>
    <t>萨帕</t>
  </si>
  <si>
    <t>J599-14FH131WP （端子），L=50cm</t>
  </si>
  <si>
    <t>DB9公头连接器</t>
  </si>
  <si>
    <t>TB</t>
  </si>
  <si>
    <t>镀金针直插公座（HL-DP9HB180M）</t>
  </si>
  <si>
    <t>DB9母座连接器</t>
  </si>
  <si>
    <t>DB9 焊线式 母头+金属壳（1个）</t>
  </si>
  <si>
    <t>穿墙式4P绿色连接器</t>
  </si>
  <si>
    <t>4P整套</t>
  </si>
  <si>
    <t>PWMO输出模块</t>
  </si>
  <si>
    <t>DMC-PIO48</t>
  </si>
  <si>
    <t>数字信号输入输出模块</t>
  </si>
  <si>
    <t>DMC-DIO48</t>
  </si>
  <si>
    <t>数字信号输入输出模块（射频切换箱）</t>
  </si>
  <si>
    <t>负载箱</t>
  </si>
  <si>
    <t>负载卡</t>
  </si>
  <si>
    <t>CAN/LIN</t>
  </si>
  <si>
    <t>FK VCI1.0</t>
  </si>
  <si>
    <t>打流交换机</t>
  </si>
  <si>
    <t>FK-Y2B21A</t>
  </si>
  <si>
    <t>FK 8口交换机</t>
  </si>
  <si>
    <t>A2B模拟卡</t>
  </si>
  <si>
    <t>USS模拟卡</t>
  </si>
  <si>
    <t>视频注入板卡</t>
  </si>
  <si>
    <t>视频采集板卡</t>
  </si>
  <si>
    <t>视频插卡机箱</t>
  </si>
  <si>
    <t>电流采集模块</t>
  </si>
  <si>
    <t>6根电流探头</t>
  </si>
  <si>
    <t>电气箱</t>
  </si>
  <si>
    <t>射频切换箱</t>
  </si>
  <si>
    <t>箱体</t>
  </si>
  <si>
    <t>PDU配电模块</t>
  </si>
  <si>
    <t>公牛</t>
  </si>
  <si>
    <t>8口PDU</t>
  </si>
  <si>
    <t>PT100温度采集模块</t>
  </si>
  <si>
    <t>聚英</t>
  </si>
  <si>
    <t>RS485</t>
  </si>
  <si>
    <t>PT100线束</t>
  </si>
  <si>
    <t>5米</t>
  </si>
  <si>
    <t>10口USB hub</t>
  </si>
  <si>
    <t>西普莱</t>
  </si>
  <si>
    <t>A-103</t>
  </si>
  <si>
    <t>射频线缆</t>
  </si>
  <si>
    <t>BNC (公）-SMA（公),（DC-3G），L=100CM</t>
  </si>
  <si>
    <t>BNC (公）-SMA（公),（DC-3G），L=200CM</t>
  </si>
  <si>
    <t>N型(公）-SMA（公)，（DC-8G），L=100CM</t>
  </si>
  <si>
    <t>J3000  HUD&amp;FID视频输出 2in1</t>
  </si>
  <si>
    <t xml:space="preserve">J6000 RSE&amp;SS视频输出 4in1 </t>
  </si>
  <si>
    <t xml:space="preserve">J2000  ABT&amp;CDD&amp;ISM视频输出 </t>
  </si>
  <si>
    <t>J12000  环视摄像头输入</t>
  </si>
  <si>
    <t>J11000  辅助摄像头输入</t>
  </si>
  <si>
    <t xml:space="preserve">J28000  RF线束 </t>
  </si>
  <si>
    <t xml:space="preserve">J18001  千兆以太网连接器 4in1 </t>
  </si>
  <si>
    <t xml:space="preserve">J6000-1 76 ABT.CDD视频输出 4in1 </t>
  </si>
  <si>
    <t>日期</t>
  </si>
  <si>
    <t>工程师</t>
  </si>
  <si>
    <t>物料名称</t>
  </si>
  <si>
    <t xml:space="preserve">规格型号  </t>
  </si>
  <si>
    <t>成品数量</t>
  </si>
  <si>
    <t>总需求量</t>
  </si>
  <si>
    <t>单位</t>
  </si>
  <si>
    <t>到货情况</t>
  </si>
  <si>
    <t>领料时间</t>
  </si>
  <si>
    <t>备注</t>
  </si>
  <si>
    <t>领料人</t>
  </si>
  <si>
    <t>程新开</t>
  </si>
  <si>
    <t>RF 线束 （J28000 &amp; J20000 &amp; J29001 &amp; J29002 &amp; J25000 &amp; J33000）</t>
  </si>
  <si>
    <t>定制线束</t>
  </si>
  <si>
    <t>套</t>
  </si>
  <si>
    <t>BOM取消</t>
  </si>
  <si>
    <t xml:space="preserve">J18001 千兆以太网连接器 4in1 </t>
  </si>
  <si>
    <t>J8000   USB2.0多媒体</t>
  </si>
  <si>
    <t>J3000  HUD&amp;FID视频输出 2in1 &amp; J2000  ABT&amp;CDD&amp;ISM视频输出</t>
  </si>
  <si>
    <t>EDAC线束 （J21000 &amp; J21001 &amp; J24000 &amp; J24001 &amp; J30000 &amp; J18002 &amp;J16000）</t>
  </si>
  <si>
    <t>J1 主电源连接器</t>
  </si>
  <si>
    <t>射频集束线缆 （J599-14FH131WP -SMA（公），L=50cm）</t>
  </si>
  <si>
    <r>
      <rPr>
        <sz val="11"/>
        <color theme="1"/>
        <rFont val="宋体"/>
        <charset val="134"/>
      </rPr>
      <t xml:space="preserve">38U* 800* 1000（D） </t>
    </r>
    <r>
      <rPr>
        <sz val="11"/>
        <color rgb="FFFF0000"/>
        <rFont val="宋体"/>
        <charset val="134"/>
      </rPr>
      <t>2</t>
    </r>
  </si>
  <si>
    <t>台</t>
  </si>
  <si>
    <t>到货不全</t>
  </si>
  <si>
    <t>库存显示2</t>
  </si>
  <si>
    <r>
      <rPr>
        <sz val="11"/>
        <color theme="1"/>
        <rFont val="宋体"/>
        <charset val="134"/>
      </rPr>
      <t xml:space="preserve">CMW100  </t>
    </r>
    <r>
      <rPr>
        <sz val="11"/>
        <color rgb="FFFF0000"/>
        <rFont val="宋体"/>
        <charset val="134"/>
      </rPr>
      <t>1</t>
    </r>
  </si>
  <si>
    <r>
      <rPr>
        <sz val="11"/>
        <color theme="1"/>
        <rFont val="宋体"/>
        <charset val="134"/>
      </rPr>
      <t>2台购买，8台租赁，</t>
    </r>
    <r>
      <rPr>
        <sz val="11"/>
        <color rgb="FFFF0000"/>
        <rFont val="宋体"/>
        <charset val="134"/>
      </rPr>
      <t>库存显示1</t>
    </r>
  </si>
  <si>
    <t>库存显示1</t>
  </si>
  <si>
    <t>DG4202</t>
  </si>
  <si>
    <r>
      <rPr>
        <sz val="11"/>
        <color theme="1"/>
        <rFont val="宋体"/>
        <charset val="134"/>
      </rPr>
      <t xml:space="preserve">19S4QAB  </t>
    </r>
    <r>
      <rPr>
        <sz val="11"/>
        <color rgb="FFFF0000"/>
        <rFont val="宋体"/>
        <charset val="134"/>
      </rPr>
      <t>6</t>
    </r>
  </si>
  <si>
    <t>飞利浦</t>
  </si>
  <si>
    <t>库存显示6</t>
  </si>
  <si>
    <t>方臣盾</t>
  </si>
  <si>
    <t>未到货</t>
  </si>
  <si>
    <r>
      <rPr>
        <sz val="11"/>
        <color theme="1"/>
        <rFont val="宋体"/>
        <charset val="134"/>
      </rPr>
      <t xml:space="preserve">工控机  </t>
    </r>
    <r>
      <rPr>
        <sz val="11"/>
        <color rgb="FFFF0000"/>
        <rFont val="宋体"/>
        <charset val="134"/>
      </rPr>
      <t>5</t>
    </r>
  </si>
  <si>
    <t>库存显示5</t>
  </si>
  <si>
    <t>PCIe采集卡</t>
  </si>
  <si>
    <t>PCIe-1805</t>
  </si>
  <si>
    <t>张</t>
  </si>
  <si>
    <t>研华</t>
  </si>
  <si>
    <t>PCIe采集卡线缆</t>
  </si>
  <si>
    <t>PCL-10162-1E</t>
  </si>
  <si>
    <t>根</t>
  </si>
  <si>
    <r>
      <rPr>
        <sz val="11"/>
        <color theme="1"/>
        <rFont val="宋体"/>
        <charset val="134"/>
      </rPr>
      <t xml:space="preserve">DSG-810S  </t>
    </r>
    <r>
      <rPr>
        <sz val="11"/>
        <color rgb="FFFF0000"/>
        <rFont val="宋体"/>
        <charset val="134"/>
      </rPr>
      <t xml:space="preserve"> 2</t>
    </r>
  </si>
  <si>
    <t>48口千兆交换机</t>
  </si>
  <si>
    <t>S5735-L48T4S-A1</t>
  </si>
  <si>
    <t>华为</t>
  </si>
  <si>
    <t>已到货</t>
  </si>
  <si>
    <t>TL-SG1008D</t>
  </si>
  <si>
    <r>
      <rPr>
        <sz val="11"/>
        <color theme="1"/>
        <rFont val="宋体"/>
        <charset val="134"/>
      </rPr>
      <t xml:space="preserve">PUHUA-D1K </t>
    </r>
    <r>
      <rPr>
        <sz val="11"/>
        <color rgb="FFFF0000"/>
        <rFont val="宋体"/>
        <charset val="134"/>
      </rPr>
      <t xml:space="preserve"> 4</t>
    </r>
  </si>
  <si>
    <t>库存显示4</t>
  </si>
  <si>
    <t>XQY-BTE-0.02/8.5G-SI</t>
  </si>
  <si>
    <t>块</t>
  </si>
  <si>
    <t>已齐已领1套，剩余9套</t>
  </si>
  <si>
    <t>卢怡杭</t>
  </si>
  <si>
    <t>XQY-ESP6T-10M/6G-TST</t>
  </si>
  <si>
    <t>个</t>
  </si>
  <si>
    <t>TX/T1转换器</t>
  </si>
  <si>
    <t>孙孝友</t>
  </si>
  <si>
    <t>J3000</t>
  </si>
  <si>
    <t>HUD&amp;FID视频输出 2in1</t>
  </si>
  <si>
    <t>PCS</t>
  </si>
  <si>
    <t>未入库表</t>
  </si>
  <si>
    <t>J6000</t>
  </si>
  <si>
    <t>RSE&amp;SS视频输出 4in1 MiniFAKRA</t>
  </si>
  <si>
    <t>J6000-1</t>
  </si>
  <si>
    <t>76 ABT,CDD视频输出 4in1 MiniFAKRA</t>
  </si>
  <si>
    <t>J2000</t>
  </si>
  <si>
    <t xml:space="preserve">ABT&amp;CDD&amp;ISM视频输出 4in1 MiniFAKRA </t>
  </si>
  <si>
    <t>J28000</t>
  </si>
  <si>
    <t>RF线束</t>
  </si>
  <si>
    <t>J12000</t>
  </si>
  <si>
    <t>环视摄像头输入（预留） 4in1 MiniFAKRA</t>
  </si>
  <si>
    <t>J11000</t>
  </si>
  <si>
    <t>辅助摄像头输入 4in1 MiniFAKRA</t>
  </si>
  <si>
    <t>华三16口交换机</t>
  </si>
  <si>
    <t>Mini S16G-U</t>
  </si>
  <si>
    <t>华三24口交换机</t>
  </si>
  <si>
    <t>S26GF-U</t>
  </si>
  <si>
    <t>常温冷水机</t>
  </si>
  <si>
    <t>SL-80T-6F</t>
  </si>
  <si>
    <t>普泰克</t>
  </si>
  <si>
    <t xml:space="preserve">未入库 </t>
  </si>
  <si>
    <t>高低温冷水机</t>
  </si>
  <si>
    <t>SL-C80T-6F</t>
  </si>
  <si>
    <t>射频信号发生器</t>
  </si>
  <si>
    <r>
      <rPr>
        <sz val="11"/>
        <color theme="1"/>
        <rFont val="等线"/>
        <charset val="134"/>
        <scheme val="minor"/>
      </rPr>
      <t xml:space="preserve">GNSS-6000      </t>
    </r>
    <r>
      <rPr>
        <sz val="11"/>
        <color rgb="FFFF0000"/>
        <rFont val="等线"/>
        <charset val="134"/>
        <scheme val="minor"/>
      </rPr>
      <t>1</t>
    </r>
  </si>
  <si>
    <t>电缆组件</t>
  </si>
  <si>
    <t>WBS1T-14F131W-40-0.5</t>
  </si>
  <si>
    <t>维创时通</t>
  </si>
  <si>
    <t>6套</t>
  </si>
  <si>
    <t>连接器(MULTIPORT-14MHW)</t>
  </si>
  <si>
    <t>14MH130W</t>
  </si>
  <si>
    <t>连接器</t>
  </si>
  <si>
    <t>130-0102-SA12GT501</t>
  </si>
  <si>
    <t>尾夹</t>
  </si>
  <si>
    <t>WT-J599H-A</t>
  </si>
  <si>
    <t>USB3.0 HUB  1米</t>
  </si>
  <si>
    <t>淘宝</t>
  </si>
  <si>
    <t>未搜集到</t>
  </si>
  <si>
    <t>显示器</t>
  </si>
  <si>
    <t>180QDMNM1     18寸2.5K240HZ</t>
  </si>
  <si>
    <t>未入库</t>
  </si>
  <si>
    <t>充电器</t>
  </si>
  <si>
    <t>【单C口丨套装】海雾黑+1.5米100W双C线</t>
  </si>
  <si>
    <t>绿联</t>
  </si>
  <si>
    <t>2米 弯头MiniHDMI转HDMI</t>
  </si>
  <si>
    <t>1.5米 弯头Type-C PD100W</t>
  </si>
  <si>
    <t>潘显斌</t>
  </si>
  <si>
    <t>常温水冷机</t>
  </si>
  <si>
    <t>高低温水冷机</t>
  </si>
  <si>
    <t>w580/w-1390p</t>
  </si>
  <si>
    <t>射频切换箱集束电缆组件 （SMA公-J599/14FH131WP，L=50cm）</t>
  </si>
  <si>
    <t>寄到苏州</t>
  </si>
  <si>
    <t>连接器端子</t>
  </si>
  <si>
    <t>18寸显示器</t>
  </si>
  <si>
    <t>NS2支持 | Hdmi 2.1接口|240HZ|完美屏送皮套|ROG枪神8P|18寸miniled</t>
  </si>
  <si>
    <t>65W充电器</t>
  </si>
  <si>
    <t>65W单C口单头</t>
  </si>
  <si>
    <t xml:space="preserve">绿联 </t>
  </si>
  <si>
    <t>上弯款Mini HDMI-直头HDMI</t>
  </si>
  <si>
    <t>奇意线材</t>
  </si>
  <si>
    <t>1.5米 PD100W快充线 立弯</t>
  </si>
  <si>
    <t>炬信（JUXIN</t>
  </si>
  <si>
    <t>USB3.0 HUB  1.4米</t>
  </si>
  <si>
    <t>USB 3.0x16 1.4米</t>
  </si>
  <si>
    <t>王丽芬</t>
  </si>
  <si>
    <t>DC直流电源插头</t>
  </si>
  <si>
    <t>5.5-2.1公头/转接头</t>
  </si>
  <si>
    <t>常温线-红</t>
  </si>
  <si>
    <t>16平</t>
  </si>
  <si>
    <t>米</t>
  </si>
  <si>
    <t>库存10</t>
  </si>
  <si>
    <t>常温线-黑</t>
  </si>
  <si>
    <t>开口铜鼻子</t>
  </si>
  <si>
    <t>OT-200A 国标A 紫铜</t>
  </si>
  <si>
    <t>pcs</t>
  </si>
  <si>
    <t>德标PVC汽车线铜心线</t>
  </si>
  <si>
    <t>FLRY-B 0.5mm² 红色</t>
  </si>
  <si>
    <t>胜牌</t>
  </si>
  <si>
    <t>FLRY-B 0.5mm²  黑色</t>
  </si>
  <si>
    <t>1平方200M—黑/FLRY-B</t>
  </si>
  <si>
    <t>已领1套</t>
  </si>
  <si>
    <t>1平方200M—红/FLRY-B</t>
  </si>
  <si>
    <t>电源线</t>
  </si>
  <si>
    <t>国标10A-C13    3*0.75m㎡    长3m</t>
  </si>
  <si>
    <t>国标10A-C13    3*1m㎡    长2m</t>
  </si>
  <si>
    <t>国标10A-C13(左弯）    3*1m㎡    长1.5m</t>
  </si>
  <si>
    <t>网线</t>
  </si>
  <si>
    <t>六类短体头扁线 0.2m</t>
  </si>
  <si>
    <t>六类千兆-黑 0.5m</t>
  </si>
  <si>
    <t>山泽</t>
  </si>
  <si>
    <t>六类千兆-黑 1m</t>
  </si>
  <si>
    <t>六类千兆-黑 1.5m</t>
  </si>
  <si>
    <t>六类千兆-黑 2m</t>
  </si>
  <si>
    <t>usb转rs485/422串口线</t>
  </si>
  <si>
    <t>usb转rs485/422串口线 1.2m(英国FT232芯片）</t>
  </si>
  <si>
    <t>帝特</t>
  </si>
  <si>
    <t>usb转rs485/422串口线 2m(英国FT232芯片）</t>
  </si>
  <si>
    <t>USB2.0转方口打印机线</t>
  </si>
  <si>
    <t>2m</t>
  </si>
  <si>
    <t>VGA连接线</t>
  </si>
  <si>
    <t>连接器外壳(金属)</t>
  </si>
  <si>
    <t>DB9</t>
  </si>
  <si>
    <t>RS</t>
  </si>
  <si>
    <t>D-SUB连接器</t>
  </si>
  <si>
    <t>DB9母</t>
  </si>
  <si>
    <t>煌林</t>
  </si>
  <si>
    <t>BNC线</t>
  </si>
  <si>
    <t>BNC公转BNC弯公 2米</t>
  </si>
  <si>
    <t>eastsheep/东方旭普</t>
  </si>
  <si>
    <t>香蕉座-红</t>
  </si>
  <si>
    <t>H-3001</t>
  </si>
  <si>
    <t>海柯</t>
  </si>
  <si>
    <t>全领</t>
  </si>
  <si>
    <t>香蕉座-黑</t>
  </si>
  <si>
    <t>香蕉插头红</t>
  </si>
  <si>
    <t>H-2012</t>
  </si>
  <si>
    <t>香蕉插头黑</t>
  </si>
  <si>
    <t>接线端子</t>
  </si>
  <si>
    <t>KF2EDGK-3.81-8P_插头</t>
  </si>
  <si>
    <t>优信电子</t>
  </si>
  <si>
    <t>HDMI转VGA连接线</t>
  </si>
  <si>
    <t>直连，2米</t>
  </si>
  <si>
    <t>绿联(UGREEN)</t>
  </si>
  <si>
    <t>USB延长线</t>
  </si>
  <si>
    <t>USB3.0延长线公转母，1.5米</t>
  </si>
  <si>
    <t>USB无线网卡</t>
  </si>
  <si>
    <t>1300M标准版</t>
  </si>
  <si>
    <t>USB直流电源线两芯</t>
  </si>
  <si>
    <t>0.5平USB母头线-30厘米</t>
  </si>
  <si>
    <t>陈磊</t>
  </si>
  <si>
    <t>指示灯</t>
  </si>
  <si>
    <t>红色、8mm、220V</t>
  </si>
  <si>
    <t>蓝波</t>
  </si>
  <si>
    <t>已齐</t>
  </si>
  <si>
    <t>剩余电流动作保护元件</t>
  </si>
  <si>
    <t>A9V56440</t>
  </si>
  <si>
    <t>施耐德</t>
  </si>
  <si>
    <t>断路器</t>
  </si>
  <si>
    <t>A9F18432</t>
  </si>
  <si>
    <t>急停按钮</t>
  </si>
  <si>
    <t>XB2BS542C</t>
  </si>
  <si>
    <t>急停防撞圈</t>
  </si>
  <si>
    <t>ZB2BZ1605C</t>
  </si>
  <si>
    <t>常闭触点</t>
  </si>
  <si>
    <t>ZB2BE102C</t>
  </si>
  <si>
    <t>接触器</t>
  </si>
  <si>
    <t>LC1D40AM7C</t>
  </si>
  <si>
    <t>中间继电器底座</t>
  </si>
  <si>
    <t>RXZE1M4C</t>
  </si>
  <si>
    <t>中间继电器</t>
  </si>
  <si>
    <t>RXM4AB2BD</t>
  </si>
  <si>
    <t>3芯圆形航插公头</t>
  </si>
  <si>
    <t>WS28K3Z</t>
  </si>
  <si>
    <t>威浦</t>
  </si>
  <si>
    <t>已取消</t>
  </si>
  <si>
    <t>3芯圆形航插母座</t>
  </si>
  <si>
    <t>WS28J3TQ</t>
  </si>
  <si>
    <t>WS20K3Z</t>
  </si>
  <si>
    <t>WS20J3TQ</t>
  </si>
  <si>
    <t>24V开关电源</t>
  </si>
  <si>
    <t>LRS-150-24</t>
  </si>
  <si>
    <t>明纬</t>
  </si>
  <si>
    <t>12V开关电源</t>
  </si>
  <si>
    <t>LRS-350-12</t>
  </si>
  <si>
    <t>5V开关电源</t>
  </si>
  <si>
    <t>LRS-50-5</t>
  </si>
  <si>
    <t>2pin连接器公头</t>
  </si>
  <si>
    <t>SF1210/P2</t>
  </si>
  <si>
    <t>2pin连接器母头</t>
  </si>
  <si>
    <t>SF1213/S2</t>
  </si>
  <si>
    <t>3pin连接器公头</t>
  </si>
  <si>
    <t>SF1210/P3</t>
  </si>
  <si>
    <t>3pin连接器母头</t>
  </si>
  <si>
    <t>SF1213/S3</t>
  </si>
  <si>
    <t>7pin连接器公头</t>
  </si>
  <si>
    <t>SF1210/P7</t>
  </si>
  <si>
    <t>7pin连接器母头</t>
  </si>
  <si>
    <t>SF1213/S7</t>
  </si>
  <si>
    <t>5芯工业插头</t>
  </si>
  <si>
    <t>TYPR285</t>
  </si>
  <si>
    <t>5芯工业插座</t>
  </si>
  <si>
    <t>TYPR5823</t>
  </si>
  <si>
    <t>双位按钮头</t>
  </si>
  <si>
    <t>ZB4BW7A3741</t>
  </si>
  <si>
    <t>白色带灯按钮底座</t>
  </si>
  <si>
    <t>ZB4BW0M15</t>
  </si>
  <si>
    <t>RS485通信IO模块</t>
  </si>
  <si>
    <t>10路10A常开常闭输出+10路输入【6-36V DC】</t>
  </si>
  <si>
    <t>中盛科技</t>
  </si>
  <si>
    <t>数显温控仪器</t>
  </si>
  <si>
    <t>标配+SSR输出+继电器+RS485</t>
  </si>
  <si>
    <t>宇欣电子仪表</t>
  </si>
  <si>
    <t>K型热电偶</t>
  </si>
  <si>
    <t>GG-K-30 5米线加插头</t>
  </si>
  <si>
    <t>tuoqun</t>
  </si>
  <si>
    <t>一体式调试接口盒面板</t>
  </si>
  <si>
    <t>A828 插座网口USB串口</t>
  </si>
  <si>
    <t>富崎</t>
  </si>
  <si>
    <t>接地铜排</t>
  </si>
  <si>
    <t>5*20*165紫铜地排</t>
  </si>
  <si>
    <t>ZTCOPPER</t>
  </si>
  <si>
    <t>矩形连接器-配件-框架</t>
  </si>
  <si>
    <t>HF24B-NLA3</t>
  </si>
  <si>
    <t>唯恩</t>
  </si>
  <si>
    <t>HF24B-NUA3</t>
  </si>
  <si>
    <t>重载航插模块</t>
  </si>
  <si>
    <t>HMDS-036-FC</t>
  </si>
  <si>
    <t>HMDS-036-MC</t>
  </si>
  <si>
    <t>HMDS-025-FC</t>
  </si>
  <si>
    <t>HMDS-025-MC</t>
  </si>
  <si>
    <t>HMD-012-MQ</t>
  </si>
  <si>
    <t>HMD-012-FQ</t>
  </si>
  <si>
    <t>HMDD-017-MC</t>
  </si>
  <si>
    <t>HMDD-017-FC</t>
  </si>
  <si>
    <t>矩形连接器外壳</t>
  </si>
  <si>
    <t>W24B-TEH-4B-M40</t>
  </si>
  <si>
    <t>H24B-BK-2L/SC</t>
  </si>
  <si>
    <t>公针</t>
  </si>
  <si>
    <t>CSSM-0.52</t>
  </si>
  <si>
    <t>母针</t>
  </si>
  <si>
    <t>CSSF-0.52</t>
  </si>
  <si>
    <t>CDSM-1.0</t>
  </si>
  <si>
    <t>CDSF-1.0</t>
  </si>
  <si>
    <t>空模块</t>
  </si>
  <si>
    <t>HM-000</t>
  </si>
  <si>
    <t>防水接头</t>
  </si>
  <si>
    <t>M40</t>
  </si>
  <si>
    <t>3U机箱</t>
  </si>
  <si>
    <t>深度600mm</t>
  </si>
  <si>
    <t>众士天诚</t>
  </si>
  <si>
    <t>3芯航插</t>
  </si>
  <si>
    <t>WS16K3Z</t>
  </si>
  <si>
    <t>WS16J3TQ</t>
  </si>
  <si>
    <t>崇洪斌</t>
  </si>
  <si>
    <t>转接板</t>
  </si>
  <si>
    <t>见图纸</t>
  </si>
  <si>
    <t>连接器（母端）</t>
  </si>
  <si>
    <t>TYPR2823</t>
  </si>
  <si>
    <t>王鑫</t>
  </si>
  <si>
    <t>功率电阻</t>
  </si>
  <si>
    <t>RX24 50W 4R F</t>
  </si>
  <si>
    <t>昆山厚福源</t>
  </si>
  <si>
    <t>621屏蔽线</t>
  </si>
  <si>
    <t>leoni 2芯0.2平方进口双屏蔽621电线</t>
  </si>
  <si>
    <t>缺1000米</t>
  </si>
  <si>
    <t>U盘</t>
  </si>
  <si>
    <t>联想USB2.0 U盘 64G</t>
  </si>
  <si>
    <t>京东</t>
  </si>
  <si>
    <t>熊猫高温线-黄</t>
  </si>
  <si>
    <t>0.5（一卷300米）</t>
  </si>
  <si>
    <t>m</t>
  </si>
  <si>
    <t>熊猫电线</t>
  </si>
  <si>
    <t>0.35（一卷500米）</t>
  </si>
  <si>
    <t>贴片电容</t>
  </si>
  <si>
    <t>2.2uF/25V 0603 10%</t>
  </si>
  <si>
    <t>盘</t>
  </si>
  <si>
    <t>贴片电感</t>
  </si>
  <si>
    <t>10uH 0603</t>
  </si>
  <si>
    <t>直插电解电容</t>
  </si>
  <si>
    <t>47uf/50V 6.3*12</t>
  </si>
  <si>
    <t>贴片铝电解电容</t>
  </si>
  <si>
    <t>10uF/25V 6.3*5.4 10%</t>
  </si>
  <si>
    <t>100nF/50V 0603</t>
  </si>
  <si>
    <t>只</t>
  </si>
  <si>
    <t>DC-DC电源芯片</t>
  </si>
  <si>
    <t>TPS5430DDARG4  SO-8-PowerPad</t>
  </si>
  <si>
    <t>TI(德州仪器)</t>
  </si>
  <si>
    <t>继电器</t>
  </si>
  <si>
    <t>SLDH-12VDC-1A四脚 80A</t>
  </si>
  <si>
    <t>松乐</t>
  </si>
  <si>
    <t>三极管</t>
  </si>
  <si>
    <t>MMBT3904LT1G  SOT-23  40V/200mA</t>
  </si>
  <si>
    <t>ON</t>
  </si>
  <si>
    <t>PMOS</t>
  </si>
  <si>
    <t>AP3P3R0MT  VSON-8(5x6)</t>
  </si>
  <si>
    <t>贴片电阻</t>
  </si>
  <si>
    <t>RS-03K4701FT(4.7K 1% 0603)</t>
  </si>
  <si>
    <t>FH(风华)</t>
  </si>
  <si>
    <t>0R 1%/0603</t>
  </si>
  <si>
    <t>0603/3.24K</t>
  </si>
  <si>
    <t>Auwah</t>
  </si>
  <si>
    <t>100K/0603 1%</t>
  </si>
  <si>
    <t>10K 1% 0603</t>
  </si>
  <si>
    <t>1K 1%/0603</t>
  </si>
  <si>
    <t>KF2EDGK-3.81-6p直针插座+插头</t>
  </si>
  <si>
    <t>Risym</t>
  </si>
  <si>
    <t>功率贴片电感</t>
  </si>
  <si>
    <t>22uH 7*7*4</t>
  </si>
  <si>
    <t>二极管</t>
  </si>
  <si>
    <t>SS54   SMA(DO-214AC)</t>
  </si>
  <si>
    <t>LGE</t>
  </si>
  <si>
    <t>风扇</t>
  </si>
  <si>
    <t>YY5010H12S</t>
  </si>
  <si>
    <t>SNOWFAN</t>
  </si>
  <si>
    <t>连接器-胶壳</t>
  </si>
  <si>
    <t>502351-0200</t>
  </si>
  <si>
    <t>molex/莫仕</t>
  </si>
  <si>
    <t>端子插针</t>
  </si>
  <si>
    <t>560085-0101</t>
  </si>
  <si>
    <t>双头DC线</t>
  </si>
  <si>
    <t>双头DC头 0.5米</t>
  </si>
  <si>
    <t>绿联超五类网线 0.5m</t>
  </si>
  <si>
    <t>4-2418700-2 外壳+端子</t>
  </si>
  <si>
    <t>TE</t>
  </si>
  <si>
    <t>4-2418700-2 小端子</t>
  </si>
  <si>
    <t>4-2418700-2 大端子</t>
  </si>
  <si>
    <t>1600280013外壳+端子</t>
  </si>
  <si>
    <t>1600280013小端子</t>
  </si>
  <si>
    <t>1600280013大端子</t>
  </si>
  <si>
    <t>0.35平方500M—黄</t>
  </si>
  <si>
    <t>0.35平方500M—绿</t>
  </si>
  <si>
    <t>0.35平方500M—红/FLRY-B</t>
  </si>
  <si>
    <t>0.35平方500M—黑/FLRY-B</t>
  </si>
  <si>
    <t>铁氟龙镀银线</t>
  </si>
  <si>
    <t>4平方 红色</t>
  </si>
  <si>
    <t>申尔</t>
  </si>
  <si>
    <t>4平方 黑色</t>
  </si>
  <si>
    <t>Molex</t>
  </si>
  <si>
    <t>4-2418700-1</t>
  </si>
  <si>
    <t>2322347-1</t>
  </si>
  <si>
    <t>2423365-1</t>
  </si>
  <si>
    <t>120路公端连接器（带把手）</t>
  </si>
  <si>
    <t>516-120-000-301</t>
  </si>
  <si>
    <t>EDAC</t>
  </si>
  <si>
    <t>120路公端连接器外壳</t>
  </si>
  <si>
    <t>516-230-512</t>
  </si>
  <si>
    <t>EDAC端子</t>
  </si>
  <si>
    <t>516-290-590</t>
  </si>
  <si>
    <t>六类千兆-黑 5m</t>
  </si>
  <si>
    <t>条</t>
  </si>
  <si>
    <t>双绞非屏蔽线</t>
  </si>
  <si>
    <t>Leoni Dacar546</t>
  </si>
  <si>
    <t>线缆插头</t>
  </si>
  <si>
    <t>外壳2302454-9</t>
  </si>
  <si>
    <t>内芯2302450-1</t>
  </si>
  <si>
    <t>屏蔽件2302452-1</t>
  </si>
  <si>
    <t>插针1-1703930-2</t>
  </si>
  <si>
    <t>航空插头</t>
  </si>
  <si>
    <t>WS28-3 TQ</t>
  </si>
  <si>
    <t>weipu</t>
  </si>
  <si>
    <t>熊猫高温线-蓝</t>
  </si>
  <si>
    <t>母端子护套</t>
  </si>
  <si>
    <t>2322347-1（胶壳+端子）（HD126-0.6-3.5-21J)</t>
  </si>
  <si>
    <t>USB线</t>
  </si>
  <si>
    <t>HSL4P母转USB2.0母头 5米</t>
  </si>
  <si>
    <t>6类千兆网线黑色</t>
  </si>
  <si>
    <t>8米</t>
  </si>
  <si>
    <t>0603电感本</t>
  </si>
  <si>
    <t>0603叠层52种各50只</t>
  </si>
  <si>
    <t>本</t>
  </si>
  <si>
    <t>0603贴片电容</t>
  </si>
  <si>
    <t>1uF/25V 0603 10%</t>
  </si>
  <si>
    <t>瓷片电容器</t>
  </si>
  <si>
    <t>102 1nF 50V 0603</t>
  </si>
  <si>
    <t>建兴电子</t>
  </si>
  <si>
    <t>10nF ±10% 50V X7R 0603(0603B103K500NT)</t>
  </si>
  <si>
    <t>100uF/35V  6.3*7.7MM</t>
  </si>
  <si>
    <t>贴片LED灯 翠绿</t>
  </si>
  <si>
    <t>LED 0603 翠绿</t>
  </si>
  <si>
    <t>贴片二极管</t>
  </si>
  <si>
    <t>SS34  SMA(DO-214AC)</t>
  </si>
  <si>
    <t>NMOS</t>
  </si>
  <si>
    <t>CSD18510Q5B  VSON-8(5x6)</t>
  </si>
  <si>
    <t>贴片三极管</t>
  </si>
  <si>
    <t>MMBT3906LT1G  SOT-23(TO-236)  40V/200mA</t>
  </si>
  <si>
    <t>onsemi(安森美)</t>
  </si>
  <si>
    <t>ERJ3EKF4703V</t>
  </si>
  <si>
    <t>松下</t>
  </si>
  <si>
    <t>3.3R 1% 0603</t>
  </si>
  <si>
    <t>欧贝顿</t>
  </si>
  <si>
    <t>ERJ3GEYJ681V</t>
  </si>
  <si>
    <t>100R/1% 0603</t>
  </si>
  <si>
    <t>20kΩ/1% 0603</t>
  </si>
  <si>
    <t>510R 1% 0603(RS-03K5100FT)</t>
  </si>
  <si>
    <t>0603 18.2K 1%</t>
  </si>
  <si>
    <t>G6K-2F-Y DC12</t>
  </si>
  <si>
    <t>运算放大器</t>
  </si>
  <si>
    <t>LM358DR   SOIC-8</t>
  </si>
  <si>
    <t>隔离电源模块</t>
  </si>
  <si>
    <t>WRA1205S-3WR2</t>
  </si>
  <si>
    <t>金升阳</t>
  </si>
  <si>
    <t>达林顿管</t>
  </si>
  <si>
    <t>ULN2803AG  SOP-18-300mil</t>
  </si>
  <si>
    <t>兰科</t>
  </si>
  <si>
    <t>1N4148WS  SOD-323</t>
  </si>
  <si>
    <t>CJ</t>
  </si>
  <si>
    <t>KF2EDGK 3.81MM-10直针+插座</t>
  </si>
  <si>
    <t>KF2EDGK-3.81-4p直针插座+插头</t>
  </si>
  <si>
    <t>镁光宝</t>
  </si>
  <si>
    <t>绕线电阻</t>
  </si>
  <si>
    <t>RX21 10W 25R</t>
  </si>
  <si>
    <t>81个/全领</t>
  </si>
  <si>
    <t>120路母端连接器</t>
  </si>
  <si>
    <t>516-120-000-402</t>
  </si>
  <si>
    <t>航空插座</t>
  </si>
  <si>
    <t>WS28-3 Z</t>
  </si>
  <si>
    <t>RX24 50W 2R</t>
  </si>
  <si>
    <t>恩至</t>
  </si>
  <si>
    <t>RX24 25W 10R F</t>
  </si>
  <si>
    <t>RX24 50W 6R J</t>
  </si>
  <si>
    <t>网口座</t>
  </si>
  <si>
    <t>HRJ452005母座</t>
  </si>
  <si>
    <t>5＆J</t>
  </si>
  <si>
    <t>D-USB</t>
  </si>
  <si>
    <t>DB62焊线母端</t>
  </si>
  <si>
    <t>博锐电子</t>
  </si>
  <si>
    <t>航插</t>
  </si>
  <si>
    <t>GX12-2芯 整套</t>
  </si>
  <si>
    <t>船型开关</t>
  </si>
  <si>
    <t>KCD1-3脚带灯 红色</t>
  </si>
  <si>
    <t>斯美达</t>
  </si>
  <si>
    <t>保险丝座</t>
  </si>
  <si>
    <t>中号</t>
  </si>
  <si>
    <t>TELESKY</t>
  </si>
  <si>
    <t>保险丝</t>
  </si>
  <si>
    <t>中号 35A</t>
  </si>
  <si>
    <t>指示灯-红</t>
  </si>
  <si>
    <t>GQ8T-D/N 12V/R</t>
  </si>
  <si>
    <t>ONPOW</t>
  </si>
  <si>
    <t>钮子开关</t>
  </si>
  <si>
    <t>T-8014(三档）</t>
  </si>
  <si>
    <t>SALECOM</t>
  </si>
  <si>
    <t>T-8013(2档)</t>
  </si>
  <si>
    <t>电源柱（红）</t>
  </si>
  <si>
    <t>M12（H-4021.1）</t>
  </si>
  <si>
    <t>LS</t>
  </si>
  <si>
    <t>电源柱（黑）</t>
  </si>
  <si>
    <t>M12（H-4021.2）</t>
  </si>
  <si>
    <t>申远</t>
  </si>
  <si>
    <t>TENSOLink</t>
  </si>
  <si>
    <t>陶瓷端子</t>
  </si>
  <si>
    <t>JXB-KC 12</t>
  </si>
  <si>
    <t>工陶</t>
  </si>
  <si>
    <t>BNC母座</t>
  </si>
  <si>
    <t>50KY/KWE</t>
  </si>
  <si>
    <t>languo/朗果</t>
  </si>
  <si>
    <t>DB62实芯公头</t>
  </si>
  <si>
    <t>DB62公</t>
  </si>
  <si>
    <t>誉陆数码</t>
  </si>
  <si>
    <t>HDB62P 金属外壳</t>
  </si>
  <si>
    <t>D-SUB金属外壳</t>
  </si>
  <si>
    <t>杜邦壳</t>
  </si>
  <si>
    <t>2*25p</t>
  </si>
  <si>
    <t>联想USB2.0   64G</t>
  </si>
  <si>
    <t>色环电阻</t>
  </si>
  <si>
    <t>1k  1/2W 1%</t>
  </si>
  <si>
    <t>10MR 1/4W 1%</t>
  </si>
  <si>
    <t>RX24  50W 13.7R F</t>
  </si>
  <si>
    <t>48PIN连接器</t>
  </si>
  <si>
    <t>926040-1(48PIN  插针式 2.54MM)</t>
  </si>
  <si>
    <t>Pin：48P 2.54mm 3*16 弯针 9001-15481C00A</t>
  </si>
  <si>
    <t>WingTAT(格林柏)</t>
  </si>
  <si>
    <t>总共十套，已领9套</t>
  </si>
  <si>
    <t>DB9公</t>
  </si>
  <si>
    <t>160PIN连接器</t>
  </si>
  <si>
    <t>5160欧式插座DIN41612（弯公） 2.54mm</t>
  </si>
  <si>
    <t>ERNI</t>
  </si>
  <si>
    <t>DIN41612</t>
  </si>
  <si>
    <t>160Pin连接器（母插）</t>
  </si>
  <si>
    <t>海晶实业</t>
  </si>
  <si>
    <t>DIN41612外壳</t>
  </si>
  <si>
    <t>ERNI(160PIN)</t>
  </si>
  <si>
    <t>96PIN连接器</t>
  </si>
  <si>
    <t>9001-11961C00A（弯针）</t>
  </si>
  <si>
    <t>DLIPUN</t>
  </si>
  <si>
    <t>9001-12961C00A（直孔）</t>
  </si>
  <si>
    <t>925486-1</t>
  </si>
  <si>
    <t>9001-13961C00A 间距2.54mm（直针座）</t>
  </si>
  <si>
    <t>DIN连接器外壳</t>
  </si>
  <si>
    <t>3*32P</t>
  </si>
  <si>
    <t>48P 直针 母座 三排 9001-16481C00A</t>
  </si>
  <si>
    <t>暂无</t>
  </si>
  <si>
    <t>连接器针</t>
  </si>
  <si>
    <t>166500-2</t>
  </si>
  <si>
    <t>USB转RS485</t>
  </si>
  <si>
    <t>usb转rs485，1.5米</t>
  </si>
  <si>
    <t>USB转RS232串口线</t>
  </si>
  <si>
    <t>USB转9针串口 公头</t>
  </si>
  <si>
    <t>9套未到</t>
  </si>
  <si>
    <t>嘉立创PCBA</t>
  </si>
  <si>
    <t>调理板贴片</t>
  </si>
  <si>
    <t>嘉立创</t>
  </si>
  <si>
    <t>李凯林</t>
  </si>
  <si>
    <t>核心板</t>
  </si>
  <si>
    <r>
      <rPr>
        <sz val="11"/>
        <color theme="1"/>
        <rFont val="等线"/>
        <charset val="134"/>
        <scheme val="minor"/>
      </rPr>
      <t xml:space="preserve">ACU2CG   </t>
    </r>
    <r>
      <rPr>
        <sz val="11"/>
        <color rgb="FFFF0000"/>
        <rFont val="等线"/>
        <charset val="134"/>
        <scheme val="minor"/>
      </rPr>
      <t>218+24</t>
    </r>
  </si>
  <si>
    <t>ALINX</t>
  </si>
  <si>
    <t>解串器</t>
  </si>
  <si>
    <t>MAX96862RSGTN/V+</t>
  </si>
  <si>
    <t>Maxim</t>
  </si>
  <si>
    <t>MAX96772GTM/V+</t>
  </si>
  <si>
    <t>0.1uF/50V 10% X7R 0402</t>
  </si>
  <si>
    <t>4.7uF/6.3V 20% X5R 0402</t>
  </si>
  <si>
    <t>0.47uF/16V 10% X5R 0402</t>
  </si>
  <si>
    <t>0.068uF/25V 10% X7R 0402</t>
  </si>
  <si>
    <t>0.01uF/50V 10% X7R 0402</t>
  </si>
  <si>
    <t>220pF/50V 10% X7R 0402(0402B221K500NT)</t>
  </si>
  <si>
    <t>150pF/50V 10% X7R 0402(0402B151K500NT)</t>
  </si>
  <si>
    <t>2.2K 1% 0402</t>
  </si>
  <si>
    <t>0402 4.7K 1%</t>
  </si>
  <si>
    <t>1K 1% 0402</t>
  </si>
  <si>
    <t>240R 1% 0402</t>
  </si>
  <si>
    <t>100R 1% 0402</t>
  </si>
  <si>
    <t>36R 1% 0402</t>
  </si>
  <si>
    <t>499 1% 0402</t>
  </si>
  <si>
    <t>39.2 1% 0402</t>
  </si>
  <si>
    <t>1R 1% 0402</t>
  </si>
  <si>
    <t>2.49K 1% 0402</t>
  </si>
  <si>
    <t>24.9kΩ ±1% 62.5mW 0402</t>
  </si>
  <si>
    <t>0R 1%  0402 ERJ-2GE0R00X</t>
  </si>
  <si>
    <t>PANASONIC</t>
  </si>
  <si>
    <t>10K 1% 0402</t>
  </si>
  <si>
    <t>3K 1% 0402</t>
  </si>
  <si>
    <t>16K 1% 0402</t>
  </si>
  <si>
    <t>10.5K 1% 0402(RC-02K1052FT)</t>
  </si>
  <si>
    <t>2K 1% 0402</t>
  </si>
  <si>
    <t>4.02kΩ ±1% 62.5mW 0402</t>
  </si>
  <si>
    <t>Yageo</t>
  </si>
  <si>
    <t>100K 1% 0402</t>
  </si>
  <si>
    <t>200kΩ ±1% 62.5mW 0402(RC-02W2003FT)</t>
  </si>
  <si>
    <t>63.4K 1% 0402(ERJ2RKF6342X)</t>
  </si>
  <si>
    <t>PANASONIC(松下)</t>
  </si>
  <si>
    <t>44.2K 1% 0402(RC-02W4422FT)</t>
  </si>
  <si>
    <t>300K 1% 0402(RC-02W3003FT)</t>
  </si>
  <si>
    <t>2.2UF,10V,X5R,±10%/0603</t>
  </si>
  <si>
    <t>1UF,25V,X7R,±10%/0603</t>
  </si>
  <si>
    <t>22UF,10V,X5R,±10%/0603  0603X226M100NT</t>
  </si>
  <si>
    <t>10UF,10V,X5R,±10%/0603</t>
  </si>
  <si>
    <t>贴片磁珠</t>
  </si>
  <si>
    <t>BLM18SG121TN1D</t>
  </si>
  <si>
    <t>muRata(村田)</t>
  </si>
  <si>
    <t>4.7K 1% 0603</t>
  </si>
  <si>
    <t>330R 1% 0603</t>
  </si>
  <si>
    <t>120K 1% 0603(RS-03K1203FT)</t>
  </si>
  <si>
    <t>0R 1% 0603</t>
  </si>
  <si>
    <t>40.2K 1% 0603</t>
  </si>
  <si>
    <t>RS-03K1002FT(10K 1% 0603)</t>
  </si>
  <si>
    <t>RS-03K1003FT(100K 1% 0603)</t>
  </si>
  <si>
    <t>10UF,25V,X5R,±10%/0805</t>
  </si>
  <si>
    <t>0805 47uF X5R 6.3V 20%</t>
  </si>
  <si>
    <t>100NF,50V,X7R,±10%/0805(0805B104K500NT)</t>
  </si>
  <si>
    <t>100uF/6.3V X5R 20%/1206</t>
  </si>
  <si>
    <t>BDCD003225121R0MS1(1uH ±20% 6.3A)</t>
  </si>
  <si>
    <t>chilisin(奇力新</t>
  </si>
  <si>
    <t>插座</t>
  </si>
  <si>
    <t>AXK5A2137YG</t>
  </si>
  <si>
    <t>贴片固态电容</t>
  </si>
  <si>
    <t>470uF/2V 20%(EEFSX0D471ER/XE)</t>
  </si>
  <si>
    <t>差分晶振</t>
  </si>
  <si>
    <t>SIT9121AI-2B1-33E200.000000</t>
  </si>
  <si>
    <t>SITIME</t>
  </si>
  <si>
    <t>动态随机存储器</t>
  </si>
  <si>
    <t>MT40A512M16LY-062E</t>
  </si>
  <si>
    <t xml:space="preserve"> micron</t>
  </si>
  <si>
    <t>Xilinx FPGA</t>
  </si>
  <si>
    <t>XCKU040-2FFVA1156</t>
  </si>
  <si>
    <t>xilinx</t>
  </si>
  <si>
    <t>0630 3.3uH 10A</t>
  </si>
  <si>
    <t>IHLP4040DZERR47M11(470nH)</t>
  </si>
  <si>
    <t>Vishay</t>
  </si>
  <si>
    <t>晶体管</t>
  </si>
  <si>
    <t>AO3400A  SOT-23  30V/5.8A</t>
  </si>
  <si>
    <t>MDD(辰达半导体)</t>
  </si>
  <si>
    <t>开关稳压器</t>
  </si>
  <si>
    <t>MP2143DJ-LF-Z  TSOT-23-8  5V/3A</t>
  </si>
  <si>
    <t>MPS</t>
  </si>
  <si>
    <t>TPS54620RGYR  VQFN-14-EP(3.5x3.5) 17V/6A</t>
  </si>
  <si>
    <t>TI</t>
  </si>
  <si>
    <t>线性稳压器LDO</t>
  </si>
  <si>
    <t>TPS51200DRCR  VSON-10-EP(3x3)</t>
  </si>
  <si>
    <t>NOR Flash Memory</t>
  </si>
  <si>
    <t>MT25QL256ABA1EW9-0SIT  WPDFN-8(6x8)</t>
  </si>
  <si>
    <t>Micron</t>
  </si>
  <si>
    <t>TPS548C26RXXR   SMD/SMT WQFN-37 16V/35A</t>
  </si>
  <si>
    <t>过压保护芯片</t>
  </si>
  <si>
    <t>PW2609A  SOT23-6</t>
  </si>
  <si>
    <t>平芯微</t>
  </si>
  <si>
    <t>千M RJ45</t>
  </si>
  <si>
    <t>HR911130A</t>
  </si>
  <si>
    <t>汉仁</t>
  </si>
  <si>
    <t>MAX96752FGTN/V+   TQFN-56</t>
  </si>
  <si>
    <t>maxim</t>
  </si>
  <si>
    <t>静电和浪涌保护(TVS/ESD)</t>
  </si>
  <si>
    <t>PESD24VF1BLYL  DFN1006-2</t>
  </si>
  <si>
    <t>Nexperia(安世)</t>
  </si>
  <si>
    <t>MPS(芯源)</t>
  </si>
  <si>
    <t>USB串行接口芯片</t>
  </si>
  <si>
    <t>MCDP6000C1 VQFN46</t>
  </si>
  <si>
    <t>KINETIC(芯凯)</t>
  </si>
  <si>
    <t>有源晶振</t>
  </si>
  <si>
    <t>OA2EIB112-270M  3225   3.3V LVDS ±50PPM  3225</t>
  </si>
  <si>
    <t>YXC</t>
  </si>
  <si>
    <t>5W金属膜电阻</t>
  </si>
  <si>
    <t>5W金属膜电阻1% 47Ω</t>
  </si>
  <si>
    <t>现密斯</t>
  </si>
  <si>
    <t>12V电源适配器</t>
  </si>
  <si>
    <t>12V 15A 5.5*2.5/2.1MM</t>
  </si>
  <si>
    <t>台达</t>
  </si>
  <si>
    <t>以太网收发器</t>
  </si>
  <si>
    <t>YT8531C-CA</t>
  </si>
  <si>
    <t>Motorcomm(裕太微)</t>
  </si>
  <si>
    <t>车载视频线束</t>
  </si>
  <si>
    <t>罗森版(4合1)母头转泰科版(4合1)母头 1m</t>
  </si>
  <si>
    <t>齐达锋</t>
  </si>
  <si>
    <t>RX24黄金铝壳电阻</t>
  </si>
  <si>
    <t>RX24黄金铝壳电阻-47R-10W</t>
  </si>
  <si>
    <t>极承</t>
  </si>
  <si>
    <t>2.54mm接线端子</t>
  </si>
  <si>
    <t>整套XH2.54-2A加XH2.54-2Y</t>
  </si>
  <si>
    <t>创升亿</t>
  </si>
  <si>
    <t>2.54mm压针</t>
  </si>
  <si>
    <t>簧片/冷压端子2.54</t>
  </si>
  <si>
    <t>板对板连接器</t>
  </si>
  <si>
    <t>AXK6A2337YG</t>
  </si>
  <si>
    <t>串行器/解串器</t>
  </si>
  <si>
    <t>MAX96717GTJ/VY+T</t>
  </si>
  <si>
    <t>模数转换器</t>
  </si>
  <si>
    <t>ADS7128IRTER</t>
  </si>
  <si>
    <t>USB转换芯片</t>
  </si>
  <si>
    <t>FT2232HL</t>
  </si>
  <si>
    <t>FTDI Chip (飞特帝亚)</t>
  </si>
  <si>
    <t>线性稳压器</t>
  </si>
  <si>
    <t>TPS7A8001DRBR</t>
  </si>
  <si>
    <t>HANRUN(汉仁)</t>
  </si>
  <si>
    <t>PW2609A</t>
  </si>
  <si>
    <t>TPS54620RGY</t>
  </si>
  <si>
    <t>MAX96752FGTN/V+</t>
  </si>
  <si>
    <t>MP2143DJ-LF-Z</t>
  </si>
  <si>
    <t>MAX96856ACGTN/V+</t>
  </si>
  <si>
    <t>以太网控制器</t>
  </si>
  <si>
    <t>RTL8211E-VB</t>
  </si>
  <si>
    <t>REALTEK</t>
  </si>
  <si>
    <t>RF射频同轴连接器</t>
  </si>
  <si>
    <t>FM4_NZRP_PCB_1</t>
  </si>
  <si>
    <t>Amphenol</t>
  </si>
  <si>
    <t>胶壳 XH2.54-2Y</t>
  </si>
  <si>
    <t>M3铜柱</t>
  </si>
  <si>
    <t>5*M3*3 黄铜镀镍</t>
  </si>
  <si>
    <t>直针插头</t>
  </si>
  <si>
    <t>直针插头-KF2EDGK3.81-4P</t>
  </si>
  <si>
    <t>直针插头-KF2EDGK3.81-3P</t>
  </si>
  <si>
    <t>DB9插头</t>
  </si>
  <si>
    <t>DB9母头焊线式+金属壳</t>
  </si>
  <si>
    <t>DC连接头</t>
  </si>
  <si>
    <t>5525全铜镀金 电流20A</t>
  </si>
  <si>
    <t>玉轩</t>
  </si>
  <si>
    <t>散热器</t>
  </si>
  <si>
    <t>14*14*4mm-切黑-带导热背胶</t>
  </si>
  <si>
    <t>1/4W 金属膜电阻 120Ω</t>
  </si>
  <si>
    <t>高导热硅胶片</t>
  </si>
  <si>
    <t>1mm-400*200(整张无切)-蓝色</t>
  </si>
  <si>
    <t>HUASOET</t>
  </si>
  <si>
    <t>2CG_Inject(CCU)_V1</t>
  </si>
  <si>
    <t>2CG_Capture(CCU)_V1</t>
  </si>
  <si>
    <t>040_CarrierBoard(CCU)_V1</t>
  </si>
  <si>
    <t>2CG_Inject(CCU)_V2</t>
  </si>
  <si>
    <t>2CG_Capture(CCU)_V2</t>
  </si>
  <si>
    <t>040_CarrierBoard(CCU)_V3</t>
  </si>
  <si>
    <t>刘孟龙</t>
  </si>
  <si>
    <t>SR2527Z2模块</t>
  </si>
  <si>
    <t>SR2527Z2</t>
  </si>
  <si>
    <t>星河微电子</t>
  </si>
  <si>
    <t>已领料</t>
  </si>
  <si>
    <t>寄青浦刘工家</t>
  </si>
  <si>
    <t>SR2828M7模块</t>
  </si>
  <si>
    <t>SR2828M7</t>
  </si>
  <si>
    <t>G28U8FTTL带外壳模块</t>
  </si>
  <si>
    <t>U10芯片方案</t>
  </si>
  <si>
    <t>模拟量采集卡</t>
  </si>
  <si>
    <t>PCBA(PCB+元器件+贴片加工)</t>
  </si>
  <si>
    <t>JLC</t>
  </si>
  <si>
    <t>DC电源插座</t>
  </si>
  <si>
    <t>005 耐高温5.5-2.1</t>
  </si>
  <si>
    <t>Your Cee</t>
  </si>
  <si>
    <t>电源模块</t>
  </si>
  <si>
    <t>URB2405YMD-10WR3</t>
  </si>
  <si>
    <t>发光二极管</t>
  </si>
  <si>
    <t>LED_3mm*2_90  MHK2396EGBTD</t>
  </si>
  <si>
    <t>美华</t>
  </si>
  <si>
    <t>RJ45 带灯</t>
  </si>
  <si>
    <t>HANRUN</t>
  </si>
  <si>
    <t>AC608-7Z010核心板</t>
  </si>
  <si>
    <t>512MB/工业级/XC7Z010（版本V1.3.3）</t>
  </si>
  <si>
    <t>XMG</t>
  </si>
  <si>
    <t>1.27mm排针排母AC601、AC608 核心板专用连接器</t>
  </si>
  <si>
    <t>31P适配AC608</t>
  </si>
  <si>
    <t xml:space="preserve">散热片 </t>
  </si>
  <si>
    <t>30*20*6MM （银色）</t>
  </si>
  <si>
    <t xml:space="preserve">散热片3M贴 </t>
  </si>
  <si>
    <t xml:space="preserve">2CM宽 </t>
  </si>
  <si>
    <t>XH2.54-2P 直针直座</t>
  </si>
  <si>
    <t>份（10只/份）</t>
  </si>
  <si>
    <t>DC3简易牛角座</t>
  </si>
  <si>
    <t>DC3-10P直针</t>
  </si>
  <si>
    <t>DC3-50PL弯针/铜针镀金0.5U</t>
  </si>
  <si>
    <t>份（60个）</t>
  </si>
  <si>
    <t>Norqin</t>
  </si>
  <si>
    <t xml:space="preserve">晶振DSB321SDN </t>
  </si>
  <si>
    <t>3225/50MHZ/0.5PPM</t>
  </si>
  <si>
    <t>KDS</t>
  </si>
  <si>
    <t>晶振8132H-50.000ML33DTL</t>
  </si>
  <si>
    <t>3225/50MHZ/2PPM</t>
  </si>
  <si>
    <t>HCI</t>
  </si>
  <si>
    <t>模拟量采集模块外壳</t>
  </si>
  <si>
    <t>T2黑色款定制开孔</t>
  </si>
  <si>
    <t>巴哈尔壳体</t>
  </si>
  <si>
    <t>30*10MM 12V双滚珠轴承9000转</t>
  </si>
  <si>
    <t>件</t>
  </si>
  <si>
    <t>财猪</t>
  </si>
  <si>
    <t>十字扁平头自攻螺钉</t>
  </si>
  <si>
    <t>M3.5*8（黑）</t>
  </si>
  <si>
    <t>恒虎</t>
  </si>
  <si>
    <t>十字沉头螺钉</t>
  </si>
  <si>
    <t>M3*6黑</t>
  </si>
  <si>
    <t>导轨卡扣</t>
  </si>
  <si>
    <t>常规黑色25宽竖3孔蝴蝶弹簧 孔距20mm</t>
  </si>
  <si>
    <t>注入采集</t>
  </si>
  <si>
    <t>3U-227.5定制</t>
  </si>
  <si>
    <t>已领</t>
  </si>
  <si>
    <t>5010 5V</t>
  </si>
  <si>
    <t>台巨</t>
  </si>
  <si>
    <t>只领了1台</t>
  </si>
  <si>
    <t>铜柱</t>
  </si>
  <si>
    <t>M3*34</t>
  </si>
  <si>
    <t>以瑟</t>
  </si>
  <si>
    <t>304不锈钢半圆头内六角</t>
  </si>
  <si>
    <t>M3*14</t>
  </si>
  <si>
    <t>盘头自攻螺钉</t>
  </si>
  <si>
    <t>M2.6*14</t>
  </si>
  <si>
    <t>1mm-400*200-蓝色</t>
  </si>
  <si>
    <t>6U-600定制</t>
  </si>
  <si>
    <t>YY6015H12B 12V 0.28A</t>
  </si>
  <si>
    <t xml:space="preserve">SNOWFAN </t>
  </si>
  <si>
    <t>D型模块RJ45</t>
  </si>
  <si>
    <t>黑色TC6ASD-B</t>
  </si>
  <si>
    <t>TRKAVNE</t>
  </si>
  <si>
    <t>M3*30+6</t>
  </si>
  <si>
    <t>M3*27</t>
  </si>
  <si>
    <t>M3*12</t>
  </si>
  <si>
    <t>平垫圈</t>
  </si>
  <si>
    <t>3*7*0.8</t>
  </si>
  <si>
    <t>天卓五金</t>
  </si>
  <si>
    <t>手拧不脱出螺钉</t>
  </si>
  <si>
    <t>M2.5*14</t>
  </si>
  <si>
    <t>华人旗舰店</t>
  </si>
  <si>
    <t>王雪冬</t>
  </si>
  <si>
    <t>3U-500定制</t>
  </si>
  <si>
    <t>M3*23+6</t>
  </si>
  <si>
    <t>M2.5*18</t>
  </si>
  <si>
    <t>M2.5*5</t>
  </si>
  <si>
    <t>YY8025H12B</t>
  </si>
  <si>
    <t>M3*8</t>
  </si>
  <si>
    <t>M3*11+3</t>
  </si>
  <si>
    <t>楚卫</t>
  </si>
  <si>
    <t>加厚螺母</t>
  </si>
  <si>
    <t>M3</t>
  </si>
  <si>
    <t>304不锈钢沉头内六角</t>
  </si>
  <si>
    <t>YY5010H05S</t>
  </si>
  <si>
    <t>铝衬套隔离柱</t>
  </si>
  <si>
    <t>M3-3mm</t>
  </si>
  <si>
    <t>合奥3D</t>
  </si>
  <si>
    <t>间隔柱</t>
  </si>
  <si>
    <t>3*7*3</t>
  </si>
  <si>
    <t>散热器80-10-60</t>
  </si>
  <si>
    <t>非标</t>
  </si>
  <si>
    <t>已领一套</t>
  </si>
  <si>
    <t>散热器80-10-94</t>
  </si>
  <si>
    <t>45x10x280散热</t>
  </si>
  <si>
    <t>源太</t>
  </si>
  <si>
    <t>已领1台</t>
  </si>
  <si>
    <t xml:space="preserve"> 打流交换机耳朵</t>
  </si>
  <si>
    <t>Q235</t>
  </si>
  <si>
    <t>大马机箱</t>
  </si>
  <si>
    <t>采集箱后面板返修</t>
  </si>
  <si>
    <t>散热铝板</t>
  </si>
  <si>
    <t>1分4功分衬板</t>
  </si>
  <si>
    <t>张云进</t>
  </si>
  <si>
    <t>PVC线槽80*80</t>
  </si>
  <si>
    <t>加厚款高80*宽80 2米/根</t>
  </si>
  <si>
    <t>插销</t>
  </si>
  <si>
    <t>ZAA05-d10-L50</t>
  </si>
  <si>
    <t>怡合达</t>
  </si>
  <si>
    <t>线轨</t>
  </si>
  <si>
    <t>IAC21-H20-L250</t>
  </si>
  <si>
    <t>松不脱螺丝</t>
  </si>
  <si>
    <t>M5*22滚花</t>
  </si>
  <si>
    <t>电气导轨</t>
  </si>
  <si>
    <t>国标1. 1(厚1.0) 1米镀彩锌</t>
  </si>
  <si>
    <t>KCD1 3脚2档 红色无灯 铜脚</t>
  </si>
  <si>
    <t>YY8038M12B DC12V 1.8A</t>
  </si>
  <si>
    <t>38U800宽1000深（前门玻璃门，后门网格门，配盲板托盘，根据图纸制作）</t>
  </si>
  <si>
    <t>风扇网罩</t>
  </si>
  <si>
    <t>80白色防尘网</t>
  </si>
  <si>
    <t>风扇保护罩</t>
  </si>
  <si>
    <t>80不锈钢 304</t>
  </si>
  <si>
    <t>双通六角铜柱</t>
  </si>
  <si>
    <t>M4*35</t>
  </si>
  <si>
    <t>单头六角铜柱</t>
  </si>
  <si>
    <t>M3*5+4</t>
  </si>
  <si>
    <t>M3*7+4 </t>
  </si>
  <si>
    <t>M3*16+6</t>
  </si>
  <si>
    <t>机柜螺丝</t>
  </si>
  <si>
    <t>M6*12MM机柜螺丝100套</t>
  </si>
  <si>
    <t>包</t>
  </si>
  <si>
    <t>康舟</t>
  </si>
  <si>
    <t>扎线棍</t>
  </si>
  <si>
    <t>总长576，孔距560，开孔7*12，黑色</t>
  </si>
  <si>
    <t>铝合金条刷</t>
  </si>
  <si>
    <t>加厚款H型毛高35毫米 一根一米</t>
  </si>
  <si>
    <t>RJ45网口</t>
  </si>
  <si>
    <t>DK-RJ45-6S-B</t>
  </si>
  <si>
    <t>FK-M-25365-T01-T014 
A00 
固线架线轨安装板2</t>
  </si>
  <si>
    <t>A6061</t>
  </si>
  <si>
    <t>全领10台
2月9日下了一批1台量</t>
  </si>
  <si>
    <t>FK-M-25365-T01-T012 
A00 固线架支撑架</t>
  </si>
  <si>
    <t>FK-M-25365-T01-T011 
A00 固线架承压板</t>
  </si>
  <si>
    <t>FK-M-25365-T01-T015 
A00 
固线架线轨安装板1</t>
  </si>
  <si>
    <t>FK-M-25365-T01-T013 
A00 固线架支撑架1</t>
  </si>
  <si>
    <t>FK-M-25365-T01-T010 
A00 固线架压板</t>
  </si>
  <si>
    <t>FK-M-25365-T01-T001 
A00 滑轨挡板</t>
  </si>
  <si>
    <t>T=1.5mm Q235</t>
  </si>
  <si>
    <t>FK-M-25365-T01-T009 
A00 8038风扇固定钣金</t>
  </si>
  <si>
    <t>FK-M-25365-T01-T026 A00 1U面板6个网口</t>
  </si>
  <si>
    <t>T=2.5mm Q235</t>
  </si>
  <si>
    <t>FK-M-25365-T01-T027 A00 8口TNS交换机固定钣金耳朵</t>
  </si>
  <si>
    <t>显示屏支架</t>
  </si>
  <si>
    <t>365显示屏支架</t>
  </si>
  <si>
    <t>2026-2-6下了9台</t>
  </si>
  <si>
    <t>FK-M-25365-T01-T028 A00 固线架加长垫板</t>
  </si>
  <si>
    <t>FK-M-25365-T01-T030 A00 DSG815固定钣金</t>
  </si>
  <si>
    <t>FK-M-25365-T01-T031 A00 L型支架</t>
  </si>
  <si>
    <t>T=2.0mm Q235</t>
  </si>
  <si>
    <t>面板1</t>
  </si>
  <si>
    <t>只有10台</t>
  </si>
  <si>
    <t>12pF  50V NP0 5% (0402) GRM1555C1H120JA01D</t>
  </si>
  <si>
    <t>muRata</t>
  </si>
  <si>
    <t>表单无反馈
入库表未搜集到</t>
  </si>
  <si>
    <t>22PF,50V,C0G,±5%/0603 0603CG220J500NT</t>
  </si>
  <si>
    <t>FH</t>
  </si>
  <si>
    <t>27pF  50V NP0 5% (0402) GCM1555C1H270JA16D</t>
  </si>
  <si>
    <t>33pF  50V NP0 5% (0402) GCM1555C1H330JA16D</t>
  </si>
  <si>
    <t>150PF,50V,C0G,±5%/0603 0603CG151J500NT</t>
  </si>
  <si>
    <t>390pF  50V C0G 5% (0402) GCM1555C1H391JA16D</t>
  </si>
  <si>
    <t>330nF,50V,X7R,±10%/0603 0603B334K500NT</t>
  </si>
  <si>
    <t>10pF 50V C0G 5% (0603) 0603CG100J500NT</t>
  </si>
  <si>
    <t>TDK</t>
  </si>
  <si>
    <t>100pF 50V C0G 5% (0603) 0603CG101J500NT</t>
  </si>
  <si>
    <t>10uF 25V X5R 10% (0603) GRM188R61E106KA73D</t>
  </si>
  <si>
    <t>0.47uF 50V X7R 10% (0603) CGA3E3X7R1H474K080AE</t>
  </si>
  <si>
    <t>1nF,100V,X7R,±10%/0603 GCJ188R72A102KA01D</t>
  </si>
  <si>
    <t>1nF,2KV,X7R,±10%/1206 1206B102K202NT</t>
  </si>
  <si>
    <t>3.3n  50V X7R 10% (0402) GCM155R71H332KA37D</t>
  </si>
  <si>
    <t>4.7n 50V X7R 10% (0402) CGA2B2X7R1H472KT0Y0F</t>
  </si>
  <si>
    <t>5.6n  50V X7R 10% (0402) 0402B562K500NT</t>
  </si>
  <si>
    <t>5.6n  50V X7R 10% (0603) 0603B562K500NT</t>
  </si>
  <si>
    <t xml:space="preserve">10n 50V NP0 5% (0402) </t>
  </si>
  <si>
    <t>10nf 50V X7R 10% (0603) GRM1885C1H103JA01D</t>
  </si>
  <si>
    <t>15n 50V X7R 10% (0402) 0402B153K500NT</t>
  </si>
  <si>
    <t>33n 50V X7R 10% (0402) CGA2B3X7R1H333K050BB</t>
  </si>
  <si>
    <t>0.1uF 35V X7R 10% (0402) CGA2B3X7R1V104K050BB</t>
  </si>
  <si>
    <t>100NF,50V,X7R,±5%/0603 0603B104J500NT</t>
  </si>
  <si>
    <t>1UF,25V,X7R,±10%/0603 0603B105K250NT</t>
  </si>
  <si>
    <t>2.2UF,16V,X5R,±10%/0603 0603X225K160NT</t>
  </si>
  <si>
    <t>4.7uF 25V X5R 10% (0603) GRM188R61E475KE11D</t>
  </si>
  <si>
    <t>Murata</t>
  </si>
  <si>
    <t>4.7uF 16V X5R 10% (0805) CGA4J3X7R1C475K125AB</t>
  </si>
  <si>
    <t>10uF 10V X5R 10% (0805) GRM21BR71A106KA73K</t>
  </si>
  <si>
    <t>贴片钽电容</t>
  </si>
  <si>
    <t>10uF±10%,3216/16V; TAJA106K016RNJ</t>
  </si>
  <si>
    <t>AVX</t>
  </si>
  <si>
    <t>220UF/50V  10*10.5mm SMD</t>
  </si>
  <si>
    <t>建新</t>
  </si>
  <si>
    <t xml:space="preserve">0R 1% /0402 </t>
  </si>
  <si>
    <t xml:space="preserve">33R 1% /0402 </t>
  </si>
  <si>
    <t xml:space="preserve">300R 1% 0.25W/0603 </t>
  </si>
  <si>
    <t>0R 5%  0603 0603WAJ0000T5E</t>
  </si>
  <si>
    <t>UNI-ROYAL</t>
  </si>
  <si>
    <t>0R/0805</t>
  </si>
  <si>
    <t>33R 1% 0.1W/0603 ERJ3EKF33R0V</t>
  </si>
  <si>
    <t>200Ω ±1% 62.5mW 0402 RC-02K2000FT</t>
  </si>
  <si>
    <t>113R 1% 1210 ERJ-14NF1130U</t>
  </si>
  <si>
    <t>1K 1%  0402 RC0402FR-071KL</t>
  </si>
  <si>
    <t>YAGEO</t>
  </si>
  <si>
    <t>1K1%0.25W/0603  ERJPA3F1001V</t>
  </si>
  <si>
    <t>1K/1206/±1％</t>
  </si>
  <si>
    <t>风华/三星</t>
  </si>
  <si>
    <t>2K2 1%  0603/ ERJ-UP3F2201V</t>
  </si>
  <si>
    <t>3.3K 1%  0402 RC0402FR-073K3L</t>
  </si>
  <si>
    <t>3K3 1%0.1W/0603 ERJ3EKF3301V</t>
  </si>
  <si>
    <t>4K7 1%0.25W/0603 ERJPA3F4701V</t>
  </si>
  <si>
    <t>5.1K ±1%  0603/ ERJ3EKF5101V</t>
  </si>
  <si>
    <t>10K 1%  0402 ERJ-2RKF1002X</t>
  </si>
  <si>
    <t>12.1K 1% 0.25W/0603  ERJ3EKF1212V</t>
  </si>
  <si>
    <t>厚声</t>
  </si>
  <si>
    <t>510R 1% 0.25W/0603  0603WAF5100T5E</t>
  </si>
  <si>
    <t>49.9R±1% 0603/ 0603WAF499JT5E</t>
  </si>
  <si>
    <t>10KΩ±1% 0603/ ERJ3EKF1002V</t>
  </si>
  <si>
    <t>33K 1%  0402 RC0402FR-0733KL</t>
  </si>
  <si>
    <t>24K 1%  0603</t>
  </si>
  <si>
    <t xml:space="preserve">75K 1%  0603 </t>
  </si>
  <si>
    <t>100K 1%  0402 ERJ-2RKF1003X</t>
  </si>
  <si>
    <t>100K1%0.1W/0603 ERJ3EKF1003V</t>
  </si>
  <si>
    <t>1M1%0.25W/0603 ERJPA3F1004V</t>
  </si>
  <si>
    <t>40V 0.4A SOD323  ZHCS400TA</t>
  </si>
  <si>
    <t>Diodes</t>
  </si>
  <si>
    <t>PESD2ETH1G-T  SOT-23</t>
  </si>
  <si>
    <t>ESD5311X  DFN1006-2</t>
  </si>
  <si>
    <t>TECH PUBLIC(台舟)</t>
  </si>
  <si>
    <t>SS34 SMA</t>
  </si>
  <si>
    <t>MDD</t>
  </si>
  <si>
    <t>1N4007 SMA</t>
  </si>
  <si>
    <t>DIODES(美台)</t>
  </si>
  <si>
    <t>TVS管</t>
  </si>
  <si>
    <t>TPSMF4L28A SOD-123F</t>
  </si>
  <si>
    <t>Littelfuse</t>
  </si>
  <si>
    <t>ESD防护器件</t>
  </si>
  <si>
    <t>SMBJ33CA</t>
  </si>
  <si>
    <t>PGB102ST23WR</t>
  </si>
  <si>
    <t>LittleFuse</t>
  </si>
  <si>
    <t>1N4148W /SOD-123</t>
  </si>
  <si>
    <t>CJ(江苏长电/长晶)</t>
  </si>
  <si>
    <t>600 Ohm @100MHz 0603 MPZ1608S601ATD25</t>
  </si>
  <si>
    <t>MGLB1608M221T1R0-LF  L0603</t>
  </si>
  <si>
    <t>microgate(麦捷科技)</t>
  </si>
  <si>
    <t>MPZ2012S102AT000</t>
  </si>
  <si>
    <t>180nH 0402 MLG1005SR18JTD25-ND</t>
  </si>
  <si>
    <t>共模电感</t>
  </si>
  <si>
    <t>3.3uH 0805 MLZ2012M3R3HTD25</t>
  </si>
  <si>
    <t>100uH  ACT1210L-101-2P-TL00</t>
  </si>
  <si>
    <t>共模滤波器</t>
  </si>
  <si>
    <t>ACM90V-701-2PL-TL00</t>
  </si>
  <si>
    <t>贴片LED</t>
  </si>
  <si>
    <t>TJ-S1608SW6TGLC6B-A5（蓝色0603）</t>
  </si>
  <si>
    <t>贴片场效应管</t>
  </si>
  <si>
    <t>MOSFET P-CH 30V 4.2 A SOT-23 AO3401A</t>
  </si>
  <si>
    <t>UMW(友台半导体)</t>
  </si>
  <si>
    <t>MMBT5401</t>
  </si>
  <si>
    <t>STD2805T4</t>
  </si>
  <si>
    <t>ST</t>
  </si>
  <si>
    <t>DSP</t>
  </si>
  <si>
    <t>ADAU1452WBCPZ-RL</t>
  </si>
  <si>
    <t>ADI</t>
  </si>
  <si>
    <t>单片机</t>
  </si>
  <si>
    <t>STM32F407VG</t>
  </si>
  <si>
    <t>音频收发器</t>
  </si>
  <si>
    <t>AD2428WCCSZ</t>
  </si>
  <si>
    <t xml:space="preserve">音频数/模转换器 </t>
  </si>
  <si>
    <t>ADAU1966AWBSTZ</t>
  </si>
  <si>
    <t>Analog Devices</t>
  </si>
  <si>
    <t>与门逻辑IC</t>
  </si>
  <si>
    <t xml:space="preserve">SN74LVC1G08DBVR </t>
  </si>
  <si>
    <t>复位芯片</t>
  </si>
  <si>
    <t>ADM811TARTZ-REEL7</t>
  </si>
  <si>
    <t>以太网收发芯片</t>
  </si>
  <si>
    <t>LAN8720A-CP-ABC  QFN-24-EP(4x4)</t>
  </si>
  <si>
    <t>MICROCHIP(美国微芯)</t>
  </si>
  <si>
    <t>LDO电源芯片</t>
  </si>
  <si>
    <t>MPQ20051DQ-AEC1-LF-Z   /DFN-8(3x3)</t>
  </si>
  <si>
    <t>LM317KTTR    /TO-263-3</t>
  </si>
  <si>
    <t>L78M05ABDT-TR   /TO-252</t>
  </si>
  <si>
    <t>ST(意法半导体)</t>
  </si>
  <si>
    <t>拨码开关</t>
  </si>
  <si>
    <t>间距2.54mm/4位/DIP-8 NDS-04V</t>
  </si>
  <si>
    <t>台湾圜达</t>
  </si>
  <si>
    <t>无源晶振</t>
  </si>
  <si>
    <t>12.288MHz 20pF ±10ppm</t>
  </si>
  <si>
    <t>8MHz  SMD3225-4P  X32258MOB4SI</t>
  </si>
  <si>
    <t>25MHz  SMD3225-4P  XL2EL89CSI-111YLC-25M</t>
  </si>
  <si>
    <t>简易牛角座</t>
  </si>
  <si>
    <t>2.54MM-DC3-10P-弯针</t>
  </si>
  <si>
    <t>Ckmtw(灿科盟)</t>
  </si>
  <si>
    <t>2.54MM-DC3-34P-弯针</t>
  </si>
  <si>
    <t>光纤收发器</t>
  </si>
  <si>
    <t>PLT133/T10W</t>
  </si>
  <si>
    <t>EVERLIGHT(台湾亿光)</t>
  </si>
  <si>
    <t>PLR135/T10</t>
  </si>
  <si>
    <t>网口连接器</t>
  </si>
  <si>
    <t>HR911105A</t>
  </si>
  <si>
    <t>DC005-5A-2.0</t>
  </si>
  <si>
    <t>XKB</t>
  </si>
  <si>
    <t>DB9弯母座</t>
  </si>
  <si>
    <t>插座 2P/2.0 502352-0200</t>
  </si>
  <si>
    <t>MOLEX</t>
  </si>
  <si>
    <t>胶壳 2P/2.0 502351-0200</t>
  </si>
  <si>
    <t>压接端子</t>
  </si>
  <si>
    <t>母头 560085-0101</t>
  </si>
  <si>
    <t>PCB贴片</t>
  </si>
  <si>
    <t>AD2428_V08</t>
  </si>
  <si>
    <t>赛明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</si>
</sst>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.00_ "/>
  </numFmts>
  <fonts count="34">
    <font>
      <sz val="11"/>
      <color theme="1"/>
      <name val="等线"/>
      <charset val="134"/>
      <scheme val="minor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b/>
      <sz val="14"/>
      <color rgb="FFFFFFFF"/>
      <name val="等线"/>
      <charset val="134"/>
    </font>
    <font>
      <sz val="10"/>
      <color theme="1"/>
      <name val="等线"/>
      <charset val="134"/>
    </font>
    <font>
      <sz val="10"/>
      <color rgb="FFFF0000"/>
      <name val="等线"/>
      <charset val="134"/>
    </font>
    <font>
      <sz val="11"/>
      <color rgb="FFFF0000"/>
      <name val="等线"/>
      <charset val="134"/>
      <scheme val="minor"/>
    </font>
    <font>
      <sz val="10"/>
      <name val="等线"/>
      <charset val="134"/>
    </font>
    <font>
      <sz val="11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name val="Arial"/>
      <charset val="134"/>
    </font>
    <font>
      <sz val="9"/>
      <color rgb="FF000000"/>
      <name val="新宋体"/>
      <charset val="134"/>
    </font>
    <font>
      <sz val="9"/>
      <name val="新宋体"/>
      <charset val="134"/>
    </font>
    <font>
      <sz val="12"/>
      <name val="宋体"/>
      <charset val="134"/>
    </font>
    <font>
      <sz val="11"/>
      <color rgb="FFFF000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10" borderId="11" applyNumberFormat="0" applyAlignment="0" applyProtection="0">
      <alignment vertical="center"/>
    </xf>
    <xf numFmtId="0" fontId="19" fillId="10" borderId="10" applyNumberFormat="0" applyAlignment="0" applyProtection="0">
      <alignment vertical="center"/>
    </xf>
    <xf numFmtId="0" fontId="20" fillId="11" borderId="12" applyNumberFormat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176" fontId="28" fillId="0" borderId="1">
      <alignment horizontal="left" vertical="center" wrapText="1"/>
    </xf>
    <xf numFmtId="177" fontId="29" fillId="0" borderId="0" applyFont="0" applyFill="0" applyBorder="0" applyAlignment="0" applyProtection="0"/>
    <xf numFmtId="0" fontId="30" fillId="0" borderId="1" applyNumberFormat="0" applyFill="0" applyProtection="0">
      <alignment horizontal="left"/>
    </xf>
    <xf numFmtId="0" fontId="29" fillId="0" borderId="0"/>
    <xf numFmtId="177" fontId="31" fillId="0" borderId="1">
      <alignment horizontal="right"/>
    </xf>
    <xf numFmtId="0" fontId="31" fillId="0" borderId="1">
      <alignment horizontal="center"/>
    </xf>
    <xf numFmtId="0" fontId="0" fillId="0" borderId="0">
      <alignment vertical="center"/>
    </xf>
    <xf numFmtId="0" fontId="32" fillId="0" borderId="0">
      <alignment vertical="center"/>
    </xf>
  </cellStyleXfs>
  <cellXfs count="9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58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58" fontId="0" fillId="0" borderId="4" xfId="0" applyNumberFormat="1" applyBorder="1" applyAlignment="1">
      <alignment horizontal="center" vertical="center"/>
    </xf>
    <xf numFmtId="58" fontId="0" fillId="0" borderId="5" xfId="0" applyNumberFormat="1" applyBorder="1" applyAlignment="1">
      <alignment horizontal="center" vertical="center"/>
    </xf>
    <xf numFmtId="0" fontId="0" fillId="5" borderId="1" xfId="0" applyFill="1" applyBorder="1"/>
    <xf numFmtId="14" fontId="0" fillId="0" borderId="0" xfId="0" applyNumberFormat="1"/>
    <xf numFmtId="58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58" fontId="0" fillId="0" borderId="3" xfId="0" applyNumberFormat="1" applyBorder="1" applyAlignment="1">
      <alignment horizontal="center"/>
    </xf>
    <xf numFmtId="58" fontId="0" fillId="0" borderId="1" xfId="0" applyNumberFormat="1" applyBorder="1" applyAlignment="1">
      <alignment horizontal="center" vertical="center"/>
    </xf>
    <xf numFmtId="58" fontId="0" fillId="0" borderId="0" xfId="0" applyNumberFormat="1"/>
    <xf numFmtId="0" fontId="0" fillId="3" borderId="1" xfId="0" applyFill="1" applyBorder="1" applyAlignment="1">
      <alignment vertical="center"/>
    </xf>
    <xf numFmtId="58" fontId="0" fillId="0" borderId="1" xfId="0" applyNumberFormat="1" applyBorder="1"/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3" borderId="3" xfId="0" applyFill="1" applyBorder="1"/>
    <xf numFmtId="58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0" borderId="3" xfId="0" applyBorder="1"/>
    <xf numFmtId="0" fontId="0" fillId="0" borderId="5" xfId="0" applyBorder="1" applyAlignment="1">
      <alignment horizontal="center" wrapText="1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5" xfId="0" applyBorder="1" applyAlignment="1">
      <alignment vertical="center"/>
    </xf>
    <xf numFmtId="0" fontId="2" fillId="0" borderId="0" xfId="0" applyFont="1"/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2" fillId="0" borderId="3" xfId="0" applyFont="1" applyBorder="1" applyAlignment="1">
      <alignment horizontal="center" vertical="center"/>
    </xf>
    <xf numFmtId="58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58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58" fontId="2" fillId="0" borderId="5" xfId="0" applyNumberFormat="1" applyFont="1" applyBorder="1" applyAlignment="1">
      <alignment horizontal="center" vertical="center"/>
    </xf>
    <xf numFmtId="0" fontId="2" fillId="3" borderId="1" xfId="0" applyFont="1" applyFill="1" applyBorder="1"/>
    <xf numFmtId="0" fontId="2" fillId="5" borderId="1" xfId="0" applyFont="1" applyFill="1" applyBorder="1"/>
    <xf numFmtId="0" fontId="2" fillId="4" borderId="1" xfId="0" applyFont="1" applyFill="1" applyBorder="1"/>
    <xf numFmtId="0" fontId="2" fillId="3" borderId="3" xfId="0" applyFont="1" applyFill="1" applyBorder="1" applyAlignment="1">
      <alignment horizontal="center" vertical="center" wrapText="1"/>
    </xf>
    <xf numFmtId="58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6" borderId="6" xfId="0" applyFont="1" applyFill="1" applyBorder="1" applyAlignment="1">
      <alignment horizontal="left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lStyle6 2 2" xfId="49"/>
    <cellStyle name="Decimal2" xfId="50"/>
    <cellStyle name="InventoryD" xfId="51"/>
    <cellStyle name="Normal" xfId="52"/>
    <cellStyle name="QuantityD" xfId="53"/>
    <cellStyle name="SpecificationD" xfId="54"/>
    <cellStyle name="常规 2" xfId="55"/>
    <cellStyle name="常规 4" xfId="56"/>
  </cellStyles>
  <tableStyles count="0" defaultTableStyle="TableStyleMedium2" defaultPivotStyle="PivotStyleLight16"/>
  <colors>
    <mruColors>
      <color rgb="0000B0F0"/>
      <color rgb="00FFFFFF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3"/>
  <sheetViews>
    <sheetView workbookViewId="0">
      <selection activeCell="D57" sqref="D57"/>
    </sheetView>
  </sheetViews>
  <sheetFormatPr defaultColWidth="8" defaultRowHeight="14" outlineLevelCol="5"/>
  <cols>
    <col min="1" max="1" width="5.58333333333333" style="78" customWidth="1"/>
    <col min="2" max="2" width="32.3333333333333" style="78" customWidth="1"/>
    <col min="3" max="3" width="15.3333333333333" style="78" customWidth="1"/>
    <col min="4" max="4" width="50.0833333333333" style="78" customWidth="1"/>
    <col min="5" max="5" width="5.58333333333333" style="78" customWidth="1"/>
    <col min="6" max="16384" width="8" style="78"/>
  </cols>
  <sheetData>
    <row r="1" ht="17.5" spans="1:6">
      <c r="A1" s="79" t="s">
        <v>0</v>
      </c>
      <c r="B1" s="80" t="s">
        <v>1</v>
      </c>
      <c r="C1" s="80" t="s">
        <v>2</v>
      </c>
      <c r="D1" s="80" t="s">
        <v>3</v>
      </c>
      <c r="E1" s="80" t="s">
        <v>4</v>
      </c>
    </row>
    <row r="2" spans="1:6">
      <c r="A2" s="81">
        <v>1</v>
      </c>
      <c r="B2" s="81" t="s">
        <v>5</v>
      </c>
      <c r="C2" s="81" t="s">
        <v>6</v>
      </c>
      <c r="D2" s="82" t="s">
        <v>7</v>
      </c>
      <c r="E2" s="81">
        <v>1</v>
      </c>
    </row>
    <row r="3" spans="1:6">
      <c r="A3" s="81">
        <v>2</v>
      </c>
      <c r="B3" s="81" t="s">
        <v>8</v>
      </c>
      <c r="C3" s="81" t="s">
        <v>9</v>
      </c>
      <c r="D3" s="82" t="s">
        <v>10</v>
      </c>
      <c r="E3" s="81">
        <v>1</v>
      </c>
    </row>
    <row r="4" spans="1:6">
      <c r="A4" s="81">
        <v>3</v>
      </c>
      <c r="B4" s="81" t="s">
        <v>11</v>
      </c>
      <c r="C4" s="81" t="s">
        <v>12</v>
      </c>
      <c r="D4" s="82" t="s">
        <v>13</v>
      </c>
      <c r="E4" s="81">
        <v>1</v>
      </c>
    </row>
    <row r="5" spans="1:6">
      <c r="A5" s="81">
        <v>4</v>
      </c>
      <c r="B5" s="81" t="s">
        <v>14</v>
      </c>
      <c r="C5" s="81" t="s">
        <v>15</v>
      </c>
      <c r="D5" s="82" t="s">
        <v>16</v>
      </c>
      <c r="E5" s="81">
        <v>1</v>
      </c>
    </row>
    <row r="6" spans="1:6">
      <c r="A6" s="81">
        <v>5</v>
      </c>
      <c r="B6" s="27" t="s">
        <v>17</v>
      </c>
      <c r="C6" s="27" t="s">
        <v>18</v>
      </c>
      <c r="D6" s="83" t="s">
        <v>19</v>
      </c>
      <c r="E6" s="81">
        <v>1</v>
      </c>
    </row>
    <row r="7" spans="1:6">
      <c r="A7" s="81">
        <v>6</v>
      </c>
      <c r="B7" s="27" t="s">
        <v>20</v>
      </c>
      <c r="C7" s="27"/>
      <c r="D7" s="83" t="s">
        <v>21</v>
      </c>
      <c r="E7" s="81">
        <v>1</v>
      </c>
    </row>
    <row r="8" spans="1:6">
      <c r="A8" s="81">
        <v>7</v>
      </c>
      <c r="B8" s="81" t="s">
        <v>22</v>
      </c>
      <c r="C8" s="81" t="s">
        <v>23</v>
      </c>
      <c r="D8" s="82" t="s">
        <v>24</v>
      </c>
      <c r="E8" s="81">
        <v>1</v>
      </c>
    </row>
    <row r="9" spans="1:6">
      <c r="A9" s="81">
        <v>8</v>
      </c>
      <c r="B9" s="81" t="s">
        <v>25</v>
      </c>
      <c r="C9" s="81" t="s">
        <v>26</v>
      </c>
      <c r="D9" s="82"/>
      <c r="E9" s="81">
        <v>6</v>
      </c>
    </row>
    <row r="10" spans="1:6">
      <c r="A10" s="81">
        <v>10</v>
      </c>
      <c r="B10" s="84" t="s">
        <v>27</v>
      </c>
      <c r="C10" s="84" t="s">
        <v>28</v>
      </c>
      <c r="D10" s="84" t="s">
        <v>29</v>
      </c>
      <c r="E10" s="84">
        <v>1</v>
      </c>
      <c r="F10" s="85" t="s">
        <v>30</v>
      </c>
    </row>
    <row r="11" spans="1:6">
      <c r="A11" s="81">
        <v>11</v>
      </c>
      <c r="B11" s="81" t="s">
        <v>31</v>
      </c>
      <c r="C11" s="81" t="s">
        <v>32</v>
      </c>
      <c r="D11" s="81" t="s">
        <v>33</v>
      </c>
      <c r="E11" s="81">
        <v>1</v>
      </c>
    </row>
    <row r="12" spans="1:6">
      <c r="A12" s="81">
        <v>12</v>
      </c>
      <c r="B12" s="81" t="s">
        <v>34</v>
      </c>
      <c r="C12" s="81" t="s">
        <v>35</v>
      </c>
      <c r="D12" s="81" t="s">
        <v>36</v>
      </c>
      <c r="E12" s="81">
        <v>1</v>
      </c>
    </row>
    <row r="13" spans="1:6">
      <c r="A13" s="81">
        <v>13</v>
      </c>
      <c r="B13" s="81" t="s">
        <v>37</v>
      </c>
      <c r="C13" s="81" t="s">
        <v>35</v>
      </c>
      <c r="D13" s="81" t="s">
        <v>38</v>
      </c>
      <c r="E13" s="81">
        <v>1</v>
      </c>
    </row>
    <row r="14" spans="1:6">
      <c r="A14" s="81">
        <v>14</v>
      </c>
      <c r="B14" s="81" t="s">
        <v>39</v>
      </c>
      <c r="C14" s="81" t="s">
        <v>40</v>
      </c>
      <c r="D14" s="81" t="s">
        <v>41</v>
      </c>
      <c r="E14" s="81">
        <v>2</v>
      </c>
    </row>
    <row r="15" spans="1:6">
      <c r="A15" s="81">
        <v>15</v>
      </c>
      <c r="B15" s="81" t="s">
        <v>42</v>
      </c>
      <c r="C15" s="81" t="s">
        <v>43</v>
      </c>
      <c r="D15" s="81" t="s">
        <v>44</v>
      </c>
      <c r="E15" s="81">
        <v>1</v>
      </c>
    </row>
    <row r="16" spans="1:6">
      <c r="A16" s="81">
        <v>16</v>
      </c>
      <c r="B16" s="81" t="s">
        <v>45</v>
      </c>
      <c r="C16" s="81" t="s">
        <v>46</v>
      </c>
      <c r="D16" s="81" t="s">
        <v>47</v>
      </c>
      <c r="E16" s="81">
        <v>1</v>
      </c>
    </row>
    <row r="17" spans="1:5">
      <c r="A17" s="81">
        <v>17</v>
      </c>
      <c r="B17" s="81" t="s">
        <v>48</v>
      </c>
      <c r="C17" s="81" t="s">
        <v>49</v>
      </c>
      <c r="D17" s="81" t="s">
        <v>50</v>
      </c>
      <c r="E17" s="81">
        <v>1</v>
      </c>
    </row>
    <row r="18" spans="1:5">
      <c r="A18" s="81">
        <v>18</v>
      </c>
      <c r="B18" s="81" t="s">
        <v>51</v>
      </c>
      <c r="C18" s="81" t="s">
        <v>52</v>
      </c>
      <c r="D18" s="81" t="s">
        <v>53</v>
      </c>
      <c r="E18" s="82">
        <v>1</v>
      </c>
    </row>
    <row r="19" spans="1:5">
      <c r="A19" s="81">
        <v>19</v>
      </c>
      <c r="B19" s="82" t="s">
        <v>54</v>
      </c>
      <c r="C19" s="82" t="s">
        <v>55</v>
      </c>
      <c r="D19" s="86" t="s">
        <v>56</v>
      </c>
      <c r="E19" s="82">
        <v>1</v>
      </c>
    </row>
    <row r="20" spans="1:5">
      <c r="A20" s="81">
        <v>20</v>
      </c>
      <c r="B20" s="82" t="s">
        <v>57</v>
      </c>
      <c r="C20" s="82" t="s">
        <v>55</v>
      </c>
      <c r="D20" s="82" t="s">
        <v>58</v>
      </c>
      <c r="E20" s="82">
        <v>2</v>
      </c>
    </row>
    <row r="21" spans="1:5">
      <c r="A21" s="81">
        <v>21</v>
      </c>
      <c r="B21" s="82" t="s">
        <v>57</v>
      </c>
      <c r="C21" s="82" t="s">
        <v>55</v>
      </c>
      <c r="D21" s="82" t="s">
        <v>59</v>
      </c>
      <c r="E21" s="82">
        <v>2</v>
      </c>
    </row>
    <row r="22" spans="1:5">
      <c r="A22" s="81">
        <v>22</v>
      </c>
      <c r="B22" s="82" t="s">
        <v>60</v>
      </c>
      <c r="C22" s="82" t="s">
        <v>55</v>
      </c>
      <c r="D22" s="82" t="s">
        <v>61</v>
      </c>
      <c r="E22" s="82">
        <v>6</v>
      </c>
    </row>
    <row r="23" spans="1:5">
      <c r="A23" s="81">
        <v>23</v>
      </c>
      <c r="B23" s="82" t="s">
        <v>62</v>
      </c>
      <c r="C23" s="82" t="s">
        <v>55</v>
      </c>
      <c r="D23" s="82" t="s">
        <v>63</v>
      </c>
      <c r="E23" s="82">
        <v>6</v>
      </c>
    </row>
    <row r="24" spans="1:5">
      <c r="A24" s="81">
        <v>24</v>
      </c>
      <c r="B24" s="82" t="s">
        <v>64</v>
      </c>
      <c r="C24" s="82" t="s">
        <v>65</v>
      </c>
      <c r="D24" s="82" t="s">
        <v>66</v>
      </c>
      <c r="E24" s="82">
        <v>6</v>
      </c>
    </row>
    <row r="25" spans="1:5">
      <c r="A25" s="81">
        <v>25</v>
      </c>
      <c r="B25" s="81" t="s">
        <v>67</v>
      </c>
      <c r="C25" s="81" t="s">
        <v>55</v>
      </c>
      <c r="D25" s="87" t="s">
        <v>68</v>
      </c>
      <c r="E25" s="82">
        <v>9</v>
      </c>
    </row>
    <row r="26" spans="1:5">
      <c r="A26" s="81">
        <v>26</v>
      </c>
      <c r="B26" s="81" t="s">
        <v>67</v>
      </c>
      <c r="C26" s="81" t="s">
        <v>55</v>
      </c>
      <c r="D26" s="87" t="s">
        <v>69</v>
      </c>
      <c r="E26" s="82">
        <v>2</v>
      </c>
    </row>
    <row r="27" spans="1:5">
      <c r="A27" s="81">
        <v>27</v>
      </c>
      <c r="B27" s="81" t="s">
        <v>67</v>
      </c>
      <c r="C27" s="81" t="s">
        <v>55</v>
      </c>
      <c r="D27" s="87" t="s">
        <v>70</v>
      </c>
      <c r="E27" s="82">
        <v>12</v>
      </c>
    </row>
    <row r="28" spans="1:5">
      <c r="A28" s="81">
        <v>28</v>
      </c>
      <c r="B28" s="81" t="s">
        <v>71</v>
      </c>
      <c r="C28" s="81" t="s">
        <v>55</v>
      </c>
      <c r="D28" s="81" t="s">
        <v>72</v>
      </c>
      <c r="E28" s="82">
        <v>10</v>
      </c>
    </row>
    <row r="29" spans="1:5">
      <c r="A29" s="81">
        <v>29</v>
      </c>
      <c r="B29" s="81" t="s">
        <v>73</v>
      </c>
      <c r="C29" s="81" t="s">
        <v>74</v>
      </c>
      <c r="D29" s="87" t="s">
        <v>75</v>
      </c>
      <c r="E29" s="82">
        <v>6</v>
      </c>
    </row>
    <row r="30" spans="1:5">
      <c r="A30" s="81">
        <v>30</v>
      </c>
      <c r="B30" s="82" t="s">
        <v>76</v>
      </c>
      <c r="C30" s="82" t="s">
        <v>77</v>
      </c>
      <c r="D30" s="86" t="s">
        <v>78</v>
      </c>
      <c r="E30" s="82">
        <v>1</v>
      </c>
    </row>
    <row r="31" spans="1:5">
      <c r="A31" s="81">
        <v>31</v>
      </c>
      <c r="B31" s="82" t="s">
        <v>79</v>
      </c>
      <c r="C31" s="82" t="s">
        <v>77</v>
      </c>
      <c r="D31" s="86" t="s">
        <v>80</v>
      </c>
      <c r="E31" s="82">
        <v>1</v>
      </c>
    </row>
    <row r="32" spans="1:5">
      <c r="A32" s="81">
        <v>32</v>
      </c>
      <c r="B32" s="82" t="s">
        <v>81</v>
      </c>
      <c r="C32" s="82" t="s">
        <v>77</v>
      </c>
      <c r="D32" s="86" t="s">
        <v>82</v>
      </c>
      <c r="E32" s="82">
        <v>1</v>
      </c>
    </row>
    <row r="33" spans="1:5">
      <c r="A33" s="81">
        <v>33</v>
      </c>
      <c r="B33" s="81" t="s">
        <v>83</v>
      </c>
      <c r="C33" s="81" t="s">
        <v>26</v>
      </c>
      <c r="D33" s="81" t="s">
        <v>84</v>
      </c>
      <c r="E33" s="81">
        <v>1</v>
      </c>
    </row>
    <row r="34" spans="1:5">
      <c r="A34" s="81">
        <v>34</v>
      </c>
      <c r="B34" s="81" t="s">
        <v>85</v>
      </c>
      <c r="C34" s="81" t="s">
        <v>26</v>
      </c>
      <c r="D34" s="81" t="s">
        <v>86</v>
      </c>
      <c r="E34" s="81">
        <v>3</v>
      </c>
    </row>
    <row r="35" spans="1:5">
      <c r="A35" s="81">
        <v>35</v>
      </c>
      <c r="B35" s="81" t="s">
        <v>87</v>
      </c>
      <c r="C35" s="81" t="s">
        <v>26</v>
      </c>
      <c r="D35" s="81"/>
      <c r="E35" s="81">
        <v>1</v>
      </c>
    </row>
    <row r="36" spans="1:5">
      <c r="A36" s="81">
        <v>36</v>
      </c>
      <c r="B36" s="81" t="s">
        <v>88</v>
      </c>
      <c r="C36" s="81" t="s">
        <v>26</v>
      </c>
      <c r="D36" s="81"/>
      <c r="E36" s="81">
        <v>1</v>
      </c>
    </row>
    <row r="37" spans="1:5">
      <c r="A37" s="81">
        <v>37</v>
      </c>
      <c r="B37" s="81" t="s">
        <v>89</v>
      </c>
      <c r="C37" s="81" t="s">
        <v>26</v>
      </c>
      <c r="D37" s="81"/>
      <c r="E37" s="81">
        <v>6</v>
      </c>
    </row>
    <row r="38" spans="1:5">
      <c r="A38" s="81">
        <v>38</v>
      </c>
      <c r="B38" s="81" t="s">
        <v>90</v>
      </c>
      <c r="C38" s="81" t="s">
        <v>26</v>
      </c>
      <c r="D38" s="81" t="s">
        <v>91</v>
      </c>
      <c r="E38" s="81">
        <v>12</v>
      </c>
    </row>
    <row r="39" spans="1:5">
      <c r="A39" s="81">
        <v>39</v>
      </c>
      <c r="B39" s="81" t="s">
        <v>92</v>
      </c>
      <c r="C39" s="81" t="s">
        <v>26</v>
      </c>
      <c r="D39" s="81" t="s">
        <v>93</v>
      </c>
      <c r="E39" s="81">
        <v>2</v>
      </c>
    </row>
    <row r="40" spans="1:5">
      <c r="A40" s="81">
        <v>40</v>
      </c>
      <c r="B40" s="81" t="s">
        <v>94</v>
      </c>
      <c r="C40" s="81" t="s">
        <v>26</v>
      </c>
      <c r="D40" s="81"/>
      <c r="E40" s="81">
        <v>1</v>
      </c>
    </row>
    <row r="41" spans="1:5">
      <c r="A41" s="81">
        <v>41</v>
      </c>
      <c r="B41" s="81" t="s">
        <v>95</v>
      </c>
      <c r="C41" s="81" t="s">
        <v>26</v>
      </c>
      <c r="D41" s="81"/>
      <c r="E41" s="81">
        <v>6</v>
      </c>
    </row>
    <row r="42" spans="1:5">
      <c r="A42" s="81">
        <v>42</v>
      </c>
      <c r="B42" s="81" t="s">
        <v>96</v>
      </c>
      <c r="C42" s="81" t="s">
        <v>26</v>
      </c>
      <c r="D42" s="81"/>
      <c r="E42" s="81">
        <v>6</v>
      </c>
    </row>
    <row r="43" spans="1:5">
      <c r="A43" s="81">
        <v>43</v>
      </c>
      <c r="B43" s="81" t="s">
        <v>97</v>
      </c>
      <c r="C43" s="81" t="s">
        <v>26</v>
      </c>
      <c r="D43" s="81"/>
      <c r="E43" s="81">
        <v>12</v>
      </c>
    </row>
    <row r="44" spans="1:5">
      <c r="A44" s="81">
        <v>44</v>
      </c>
      <c r="B44" s="81" t="s">
        <v>98</v>
      </c>
      <c r="C44" s="81" t="s">
        <v>26</v>
      </c>
      <c r="D44" s="81"/>
      <c r="E44" s="81">
        <v>24</v>
      </c>
    </row>
    <row r="45" spans="1:5">
      <c r="A45" s="81">
        <v>45</v>
      </c>
      <c r="B45" s="81" t="s">
        <v>99</v>
      </c>
      <c r="C45" s="81" t="s">
        <v>26</v>
      </c>
      <c r="D45" s="81"/>
      <c r="E45" s="81">
        <v>3</v>
      </c>
    </row>
    <row r="46" spans="1:5">
      <c r="A46" s="81">
        <v>46</v>
      </c>
      <c r="B46" s="81" t="s">
        <v>100</v>
      </c>
      <c r="C46" s="81" t="s">
        <v>26</v>
      </c>
      <c r="D46" s="81" t="s">
        <v>101</v>
      </c>
      <c r="E46" s="81">
        <v>1</v>
      </c>
    </row>
    <row r="47" spans="1:5">
      <c r="A47" s="81">
        <v>47</v>
      </c>
      <c r="B47" s="81" t="s">
        <v>102</v>
      </c>
      <c r="C47" s="81" t="s">
        <v>26</v>
      </c>
      <c r="D47" s="81"/>
      <c r="E47" s="81">
        <v>1</v>
      </c>
    </row>
    <row r="48" spans="1:5">
      <c r="A48" s="81">
        <v>48</v>
      </c>
      <c r="B48" s="81" t="s">
        <v>103</v>
      </c>
      <c r="C48" s="81" t="s">
        <v>26</v>
      </c>
      <c r="D48" s="81" t="s">
        <v>104</v>
      </c>
      <c r="E48" s="81">
        <v>1</v>
      </c>
    </row>
    <row r="49" spans="1:5">
      <c r="A49" s="81">
        <v>49</v>
      </c>
      <c r="B49" s="81" t="s">
        <v>105</v>
      </c>
      <c r="C49" s="81" t="s">
        <v>106</v>
      </c>
      <c r="D49" s="81" t="s">
        <v>107</v>
      </c>
      <c r="E49" s="82">
        <v>2</v>
      </c>
    </row>
    <row r="50" spans="1:5">
      <c r="A50" s="81">
        <v>50</v>
      </c>
      <c r="B50" s="81" t="s">
        <v>108</v>
      </c>
      <c r="C50" s="81" t="s">
        <v>109</v>
      </c>
      <c r="D50" s="81" t="s">
        <v>110</v>
      </c>
      <c r="E50" s="81">
        <v>1</v>
      </c>
    </row>
    <row r="51" spans="1:5">
      <c r="A51" s="81">
        <v>51</v>
      </c>
      <c r="B51" s="81" t="s">
        <v>111</v>
      </c>
      <c r="C51" s="81" t="s">
        <v>109</v>
      </c>
      <c r="D51" s="81" t="s">
        <v>112</v>
      </c>
      <c r="E51" s="81">
        <v>1</v>
      </c>
    </row>
    <row r="52" spans="1:5">
      <c r="A52" s="81">
        <v>52</v>
      </c>
      <c r="B52" s="88" t="s">
        <v>113</v>
      </c>
      <c r="C52" s="89" t="s">
        <v>114</v>
      </c>
      <c r="D52" s="89" t="s">
        <v>115</v>
      </c>
      <c r="E52" s="89">
        <v>1</v>
      </c>
    </row>
    <row r="53" spans="1:5">
      <c r="A53" s="81">
        <v>53</v>
      </c>
      <c r="B53" s="89" t="s">
        <v>116</v>
      </c>
      <c r="C53" s="82" t="s">
        <v>55</v>
      </c>
      <c r="D53" s="89" t="s">
        <v>117</v>
      </c>
      <c r="E53" s="89">
        <v>1</v>
      </c>
    </row>
    <row r="54" spans="1:5">
      <c r="A54" s="81">
        <v>54</v>
      </c>
      <c r="B54" s="89" t="s">
        <v>116</v>
      </c>
      <c r="C54" s="82" t="s">
        <v>55</v>
      </c>
      <c r="D54" s="89" t="s">
        <v>118</v>
      </c>
      <c r="E54" s="89">
        <v>1</v>
      </c>
    </row>
    <row r="55" spans="1:5">
      <c r="A55" s="81">
        <v>55</v>
      </c>
      <c r="B55" s="89" t="s">
        <v>116</v>
      </c>
      <c r="C55" s="82" t="s">
        <v>55</v>
      </c>
      <c r="D55" s="89" t="s">
        <v>119</v>
      </c>
      <c r="E55" s="89">
        <v>7</v>
      </c>
    </row>
    <row r="56" spans="1:5">
      <c r="A56" s="81">
        <v>56</v>
      </c>
      <c r="B56" s="89" t="s">
        <v>120</v>
      </c>
      <c r="C56" s="82" t="s">
        <v>74</v>
      </c>
      <c r="D56" s="89"/>
      <c r="E56" s="89">
        <v>6</v>
      </c>
    </row>
    <row r="57" spans="1:5">
      <c r="A57" s="81">
        <v>57</v>
      </c>
      <c r="B57" s="89" t="s">
        <v>121</v>
      </c>
      <c r="C57" s="82" t="s">
        <v>74</v>
      </c>
      <c r="D57" s="89"/>
      <c r="E57" s="89">
        <v>6</v>
      </c>
    </row>
    <row r="58" spans="1:5">
      <c r="A58" s="81">
        <v>58</v>
      </c>
      <c r="B58" s="89" t="s">
        <v>122</v>
      </c>
      <c r="C58" s="82" t="s">
        <v>74</v>
      </c>
      <c r="D58" s="89"/>
      <c r="E58" s="89">
        <v>6</v>
      </c>
    </row>
    <row r="59" spans="1:5">
      <c r="A59" s="81">
        <v>59</v>
      </c>
      <c r="B59" s="89" t="s">
        <v>123</v>
      </c>
      <c r="C59" s="82" t="s">
        <v>74</v>
      </c>
      <c r="D59" s="89"/>
      <c r="E59" s="89">
        <v>6</v>
      </c>
    </row>
    <row r="60" spans="1:5">
      <c r="A60" s="81">
        <v>60</v>
      </c>
      <c r="B60" s="89" t="s">
        <v>124</v>
      </c>
      <c r="C60" s="82" t="s">
        <v>74</v>
      </c>
      <c r="D60" s="89"/>
      <c r="E60" s="89">
        <v>6</v>
      </c>
    </row>
    <row r="61" spans="1:5">
      <c r="A61" s="81">
        <v>61</v>
      </c>
      <c r="B61" s="89" t="s">
        <v>125</v>
      </c>
      <c r="C61" s="82" t="s">
        <v>74</v>
      </c>
      <c r="D61" s="89"/>
      <c r="E61" s="89">
        <v>6</v>
      </c>
    </row>
    <row r="62" spans="1:5">
      <c r="A62" s="81">
        <v>62</v>
      </c>
      <c r="B62" s="89" t="s">
        <v>126</v>
      </c>
      <c r="C62" s="82" t="s">
        <v>74</v>
      </c>
      <c r="D62" s="89"/>
      <c r="E62" s="89">
        <v>6</v>
      </c>
    </row>
    <row r="63" spans="1:5">
      <c r="A63" s="81">
        <v>63</v>
      </c>
      <c r="B63" s="89" t="s">
        <v>127</v>
      </c>
      <c r="C63" s="82" t="s">
        <v>74</v>
      </c>
      <c r="D63" s="89"/>
      <c r="E63" s="89">
        <v>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5"/>
  <sheetViews>
    <sheetView topLeftCell="A42" workbookViewId="0">
      <selection activeCell="C1" sqref="C$1:C$1048576"/>
    </sheetView>
  </sheetViews>
  <sheetFormatPr defaultColWidth="8.66666666666667" defaultRowHeight="14"/>
  <cols>
    <col min="1" max="1" width="17.5" style="56" customWidth="1"/>
    <col min="2" max="2" width="14.8333333333333" style="56" customWidth="1"/>
    <col min="3" max="3" width="32.75" style="56" customWidth="1"/>
    <col min="4" max="4" width="23.3333333333333" style="56" customWidth="1"/>
    <col min="5" max="5" width="8.66666666666667" style="56"/>
    <col min="6" max="6" width="10.9166666666667" style="56" customWidth="1"/>
    <col min="7" max="8" width="8.66666666666667" style="56"/>
    <col min="9" max="9" width="18" style="56" customWidth="1"/>
    <col min="10" max="10" width="8.66666666666667" style="56"/>
    <col min="11" max="11" width="9.66666666666667" style="56" customWidth="1"/>
    <col min="12" max="12" width="21.75" style="56" customWidth="1"/>
    <col min="13" max="16384" width="8.66666666666667" style="56"/>
  </cols>
  <sheetData>
    <row r="1" s="1" customFormat="1" ht="30.65" customHeight="1" spans="1:13">
      <c r="A1" s="2" t="s">
        <v>128</v>
      </c>
      <c r="B1" s="3" t="s">
        <v>129</v>
      </c>
      <c r="C1" s="4" t="s">
        <v>130</v>
      </c>
      <c r="D1" s="2" t="s">
        <v>131</v>
      </c>
      <c r="E1" s="2" t="s">
        <v>4</v>
      </c>
      <c r="F1" s="2" t="s">
        <v>132</v>
      </c>
      <c r="G1" s="3" t="s">
        <v>133</v>
      </c>
      <c r="H1" s="3" t="s">
        <v>134</v>
      </c>
      <c r="I1" s="3" t="s">
        <v>2</v>
      </c>
      <c r="J1" s="3" t="s">
        <v>135</v>
      </c>
      <c r="K1" s="2" t="s">
        <v>136</v>
      </c>
      <c r="L1" s="2" t="s">
        <v>137</v>
      </c>
      <c r="M1" s="3" t="s">
        <v>138</v>
      </c>
    </row>
    <row r="2" spans="1:13">
      <c r="A2" s="57">
        <v>45965</v>
      </c>
      <c r="B2" s="58" t="s">
        <v>139</v>
      </c>
      <c r="C2" s="58" t="s">
        <v>140</v>
      </c>
      <c r="D2" s="58" t="s">
        <v>141</v>
      </c>
      <c r="E2" s="58">
        <v>1</v>
      </c>
      <c r="F2" s="58">
        <v>60</v>
      </c>
      <c r="G2" s="58">
        <f>F2*E2</f>
        <v>60</v>
      </c>
      <c r="H2" s="58" t="s">
        <v>142</v>
      </c>
      <c r="I2" s="58" t="s">
        <v>74</v>
      </c>
      <c r="J2" s="59"/>
      <c r="K2" s="60"/>
      <c r="L2" s="59" t="s">
        <v>143</v>
      </c>
      <c r="M2" s="59"/>
    </row>
    <row r="3" spans="1:13">
      <c r="A3" s="57">
        <v>45965</v>
      </c>
      <c r="B3" s="58" t="s">
        <v>139</v>
      </c>
      <c r="C3" s="58" t="s">
        <v>144</v>
      </c>
      <c r="D3" s="58" t="s">
        <v>141</v>
      </c>
      <c r="E3" s="58">
        <v>1</v>
      </c>
      <c r="F3" s="58">
        <v>60</v>
      </c>
      <c r="G3" s="58">
        <f t="shared" ref="G3:G11" si="0">F3*E3</f>
        <v>60</v>
      </c>
      <c r="H3" s="58" t="s">
        <v>142</v>
      </c>
      <c r="I3" s="58" t="s">
        <v>74</v>
      </c>
      <c r="J3" s="61"/>
      <c r="K3" s="62"/>
      <c r="L3" s="61"/>
      <c r="M3" s="61"/>
    </row>
    <row r="4" spans="1:13">
      <c r="A4" s="57">
        <v>45965</v>
      </c>
      <c r="B4" s="58" t="s">
        <v>139</v>
      </c>
      <c r="C4" s="58" t="s">
        <v>145</v>
      </c>
      <c r="D4" s="58" t="s">
        <v>141</v>
      </c>
      <c r="E4" s="58">
        <v>1</v>
      </c>
      <c r="F4" s="58">
        <v>60</v>
      </c>
      <c r="G4" s="58">
        <f t="shared" si="0"/>
        <v>60</v>
      </c>
      <c r="H4" s="58" t="s">
        <v>142</v>
      </c>
      <c r="I4" s="58" t="s">
        <v>74</v>
      </c>
      <c r="J4" s="61"/>
      <c r="K4" s="62"/>
      <c r="L4" s="61"/>
      <c r="M4" s="61"/>
    </row>
    <row r="5" spans="1:13">
      <c r="A5" s="57">
        <v>45965</v>
      </c>
      <c r="B5" s="58" t="s">
        <v>139</v>
      </c>
      <c r="C5" s="58" t="s">
        <v>146</v>
      </c>
      <c r="D5" s="58" t="s">
        <v>141</v>
      </c>
      <c r="E5" s="58">
        <v>1</v>
      </c>
      <c r="F5" s="58">
        <v>60</v>
      </c>
      <c r="G5" s="58">
        <f t="shared" si="0"/>
        <v>60</v>
      </c>
      <c r="H5" s="58" t="s">
        <v>142</v>
      </c>
      <c r="I5" s="58" t="s">
        <v>74</v>
      </c>
      <c r="J5" s="61"/>
      <c r="K5" s="62"/>
      <c r="L5" s="61"/>
      <c r="M5" s="61"/>
    </row>
    <row r="6" spans="1:13">
      <c r="A6" s="57">
        <v>45965</v>
      </c>
      <c r="B6" s="58" t="s">
        <v>139</v>
      </c>
      <c r="C6" s="58" t="s">
        <v>121</v>
      </c>
      <c r="D6" s="58" t="s">
        <v>141</v>
      </c>
      <c r="E6" s="58">
        <v>1</v>
      </c>
      <c r="F6" s="58">
        <v>60</v>
      </c>
      <c r="G6" s="58">
        <f t="shared" si="0"/>
        <v>60</v>
      </c>
      <c r="H6" s="58" t="s">
        <v>142</v>
      </c>
      <c r="I6" s="58" t="s">
        <v>74</v>
      </c>
      <c r="J6" s="61"/>
      <c r="K6" s="62"/>
      <c r="L6" s="61"/>
      <c r="M6" s="61"/>
    </row>
    <row r="7" spans="1:13">
      <c r="A7" s="57">
        <v>45965</v>
      </c>
      <c r="B7" s="58" t="s">
        <v>139</v>
      </c>
      <c r="C7" s="58" t="s">
        <v>123</v>
      </c>
      <c r="D7" s="58" t="s">
        <v>141</v>
      </c>
      <c r="E7" s="58">
        <v>1</v>
      </c>
      <c r="F7" s="58">
        <v>60</v>
      </c>
      <c r="G7" s="58">
        <f t="shared" si="0"/>
        <v>60</v>
      </c>
      <c r="H7" s="58" t="s">
        <v>142</v>
      </c>
      <c r="I7" s="58" t="s">
        <v>74</v>
      </c>
      <c r="J7" s="61"/>
      <c r="K7" s="62"/>
      <c r="L7" s="61"/>
      <c r="M7" s="61"/>
    </row>
    <row r="8" spans="1:13">
      <c r="A8" s="57">
        <v>45965</v>
      </c>
      <c r="B8" s="58" t="s">
        <v>139</v>
      </c>
      <c r="C8" s="58" t="s">
        <v>124</v>
      </c>
      <c r="D8" s="58" t="s">
        <v>141</v>
      </c>
      <c r="E8" s="58">
        <v>1</v>
      </c>
      <c r="F8" s="58">
        <v>60</v>
      </c>
      <c r="G8" s="58">
        <f t="shared" si="0"/>
        <v>60</v>
      </c>
      <c r="H8" s="58" t="s">
        <v>142</v>
      </c>
      <c r="I8" s="58" t="s">
        <v>74</v>
      </c>
      <c r="J8" s="61"/>
      <c r="K8" s="62"/>
      <c r="L8" s="61"/>
      <c r="M8" s="61"/>
    </row>
    <row r="9" spans="1:13">
      <c r="A9" s="57">
        <v>45965</v>
      </c>
      <c r="B9" s="58" t="s">
        <v>139</v>
      </c>
      <c r="C9" s="58" t="s">
        <v>147</v>
      </c>
      <c r="D9" s="58" t="s">
        <v>141</v>
      </c>
      <c r="E9" s="58">
        <v>1</v>
      </c>
      <c r="F9" s="58">
        <v>60</v>
      </c>
      <c r="G9" s="58">
        <f t="shared" si="0"/>
        <v>60</v>
      </c>
      <c r="H9" s="58" t="s">
        <v>142</v>
      </c>
      <c r="I9" s="58" t="s">
        <v>74</v>
      </c>
      <c r="J9" s="61"/>
      <c r="K9" s="62"/>
      <c r="L9" s="61"/>
      <c r="M9" s="61"/>
    </row>
    <row r="10" spans="1:13">
      <c r="A10" s="57">
        <v>45965</v>
      </c>
      <c r="B10" s="58" t="s">
        <v>139</v>
      </c>
      <c r="C10" s="58" t="s">
        <v>148</v>
      </c>
      <c r="D10" s="58" t="s">
        <v>141</v>
      </c>
      <c r="E10" s="58">
        <v>1</v>
      </c>
      <c r="F10" s="58">
        <v>60</v>
      </c>
      <c r="G10" s="58">
        <f t="shared" si="0"/>
        <v>60</v>
      </c>
      <c r="H10" s="58" t="s">
        <v>142</v>
      </c>
      <c r="I10" s="58" t="s">
        <v>74</v>
      </c>
      <c r="J10" s="61"/>
      <c r="K10" s="62"/>
      <c r="L10" s="61"/>
      <c r="M10" s="61"/>
    </row>
    <row r="11" spans="1:13">
      <c r="A11" s="57">
        <v>45965</v>
      </c>
      <c r="B11" s="58" t="s">
        <v>139</v>
      </c>
      <c r="C11" s="58" t="s">
        <v>149</v>
      </c>
      <c r="D11" s="58" t="s">
        <v>141</v>
      </c>
      <c r="E11" s="58">
        <v>1</v>
      </c>
      <c r="F11" s="58">
        <v>60</v>
      </c>
      <c r="G11" s="58">
        <f t="shared" si="0"/>
        <v>60</v>
      </c>
      <c r="H11" s="58" t="s">
        <v>142</v>
      </c>
      <c r="I11" s="58" t="s">
        <v>74</v>
      </c>
      <c r="J11" s="63"/>
      <c r="K11" s="64"/>
      <c r="L11" s="63"/>
      <c r="M11" s="63"/>
    </row>
    <row r="12" spans="1:13">
      <c r="A12" s="57">
        <v>45965</v>
      </c>
      <c r="B12" s="58" t="s">
        <v>139</v>
      </c>
      <c r="C12" s="65" t="s">
        <v>5</v>
      </c>
      <c r="D12" s="65" t="s">
        <v>150</v>
      </c>
      <c r="E12" s="58">
        <v>1</v>
      </c>
      <c r="F12" s="58">
        <v>10</v>
      </c>
      <c r="G12" s="58">
        <f t="shared" ref="G12:G55" si="1">F12*E12</f>
        <v>10</v>
      </c>
      <c r="H12" s="58" t="s">
        <v>151</v>
      </c>
      <c r="I12" s="58" t="s">
        <v>6</v>
      </c>
      <c r="J12" s="66" t="s">
        <v>152</v>
      </c>
      <c r="K12" s="58"/>
      <c r="L12" s="58" t="s">
        <v>153</v>
      </c>
      <c r="M12" s="58"/>
    </row>
    <row r="13" spans="1:13">
      <c r="A13" s="57">
        <v>45965</v>
      </c>
      <c r="B13" s="58" t="s">
        <v>139</v>
      </c>
      <c r="C13" s="65" t="s">
        <v>8</v>
      </c>
      <c r="D13" s="65" t="s">
        <v>154</v>
      </c>
      <c r="E13" s="58">
        <v>1</v>
      </c>
      <c r="F13" s="58">
        <v>10</v>
      </c>
      <c r="G13" s="58">
        <f t="shared" si="1"/>
        <v>10</v>
      </c>
      <c r="H13" s="58" t="s">
        <v>151</v>
      </c>
      <c r="I13" s="58" t="s">
        <v>9</v>
      </c>
      <c r="J13" s="66" t="s">
        <v>152</v>
      </c>
      <c r="K13" s="58"/>
      <c r="L13" s="58" t="s">
        <v>155</v>
      </c>
      <c r="M13" s="58"/>
    </row>
    <row r="14" spans="1:13">
      <c r="A14" s="57">
        <v>45965</v>
      </c>
      <c r="B14" s="58" t="s">
        <v>139</v>
      </c>
      <c r="C14" s="65" t="s">
        <v>11</v>
      </c>
      <c r="D14" s="65" t="s">
        <v>13</v>
      </c>
      <c r="E14" s="58">
        <v>1</v>
      </c>
      <c r="F14" s="58">
        <v>10</v>
      </c>
      <c r="G14" s="58">
        <f t="shared" si="1"/>
        <v>10</v>
      </c>
      <c r="H14" s="58" t="s">
        <v>151</v>
      </c>
      <c r="I14" s="58" t="s">
        <v>12</v>
      </c>
      <c r="J14" s="66" t="s">
        <v>152</v>
      </c>
      <c r="K14" s="58"/>
      <c r="L14" s="58" t="s">
        <v>156</v>
      </c>
      <c r="M14" s="58"/>
    </row>
    <row r="15" spans="1:13">
      <c r="A15" s="57">
        <v>45965</v>
      </c>
      <c r="B15" s="58" t="s">
        <v>139</v>
      </c>
      <c r="C15" s="65" t="s">
        <v>14</v>
      </c>
      <c r="D15" s="65" t="s">
        <v>157</v>
      </c>
      <c r="E15" s="58">
        <v>1</v>
      </c>
      <c r="F15" s="58">
        <v>10</v>
      </c>
      <c r="G15" s="58">
        <f t="shared" si="1"/>
        <v>10</v>
      </c>
      <c r="H15" s="58" t="s">
        <v>151</v>
      </c>
      <c r="I15" s="58" t="s">
        <v>15</v>
      </c>
      <c r="J15" s="58"/>
      <c r="K15" s="58"/>
      <c r="L15" s="58"/>
      <c r="M15" s="58"/>
    </row>
    <row r="16" spans="1:13">
      <c r="A16" s="57">
        <v>45965</v>
      </c>
      <c r="B16" s="58" t="s">
        <v>139</v>
      </c>
      <c r="C16" s="65" t="s">
        <v>17</v>
      </c>
      <c r="D16" s="65" t="s">
        <v>158</v>
      </c>
      <c r="E16" s="58">
        <v>1</v>
      </c>
      <c r="F16" s="58">
        <v>10</v>
      </c>
      <c r="G16" s="58">
        <f t="shared" si="1"/>
        <v>10</v>
      </c>
      <c r="H16" s="58" t="s">
        <v>151</v>
      </c>
      <c r="I16" s="58" t="s">
        <v>159</v>
      </c>
      <c r="J16" s="66" t="s">
        <v>152</v>
      </c>
      <c r="K16" s="58"/>
      <c r="L16" s="58" t="s">
        <v>160</v>
      </c>
      <c r="M16" s="58"/>
    </row>
    <row r="17" spans="1:13">
      <c r="A17" s="57">
        <v>45965</v>
      </c>
      <c r="B17" s="58" t="s">
        <v>139</v>
      </c>
      <c r="C17" s="58" t="s">
        <v>20</v>
      </c>
      <c r="D17" s="58" t="s">
        <v>21</v>
      </c>
      <c r="E17" s="58">
        <v>1</v>
      </c>
      <c r="F17" s="58">
        <v>10</v>
      </c>
      <c r="G17" s="58">
        <f t="shared" si="1"/>
        <v>10</v>
      </c>
      <c r="H17" s="58" t="s">
        <v>151</v>
      </c>
      <c r="I17" s="58" t="s">
        <v>161</v>
      </c>
      <c r="J17" s="67" t="s">
        <v>162</v>
      </c>
      <c r="K17" s="58"/>
      <c r="L17" s="58"/>
      <c r="M17" s="58"/>
    </row>
    <row r="18" spans="1:13">
      <c r="A18" s="57">
        <v>45965</v>
      </c>
      <c r="B18" s="58" t="s">
        <v>139</v>
      </c>
      <c r="C18" s="65" t="s">
        <v>163</v>
      </c>
      <c r="D18" s="65" t="s">
        <v>24</v>
      </c>
      <c r="E18" s="58">
        <v>1</v>
      </c>
      <c r="F18" s="58">
        <v>10</v>
      </c>
      <c r="G18" s="58">
        <f t="shared" si="1"/>
        <v>10</v>
      </c>
      <c r="H18" s="58" t="s">
        <v>151</v>
      </c>
      <c r="I18" s="58" t="s">
        <v>23</v>
      </c>
      <c r="J18" s="66" t="s">
        <v>152</v>
      </c>
      <c r="K18" s="58"/>
      <c r="L18" s="58" t="s">
        <v>164</v>
      </c>
      <c r="M18" s="58"/>
    </row>
    <row r="19" spans="1:13">
      <c r="A19" s="57">
        <v>45965</v>
      </c>
      <c r="B19" s="58" t="s">
        <v>139</v>
      </c>
      <c r="C19" s="58" t="s">
        <v>165</v>
      </c>
      <c r="D19" s="58" t="s">
        <v>166</v>
      </c>
      <c r="E19" s="58">
        <v>6</v>
      </c>
      <c r="F19" s="58">
        <v>10</v>
      </c>
      <c r="G19" s="58">
        <f t="shared" si="1"/>
        <v>60</v>
      </c>
      <c r="H19" s="58" t="s">
        <v>167</v>
      </c>
      <c r="I19" s="58" t="s">
        <v>168</v>
      </c>
      <c r="J19" s="58"/>
      <c r="K19" s="58"/>
      <c r="L19" s="58"/>
      <c r="M19" s="58"/>
    </row>
    <row r="20" spans="1:13">
      <c r="A20" s="57">
        <v>45965</v>
      </c>
      <c r="B20" s="58" t="s">
        <v>139</v>
      </c>
      <c r="C20" s="58" t="s">
        <v>169</v>
      </c>
      <c r="D20" s="58" t="s">
        <v>170</v>
      </c>
      <c r="E20" s="58">
        <v>6</v>
      </c>
      <c r="F20" s="58">
        <v>10</v>
      </c>
      <c r="G20" s="58">
        <f t="shared" si="1"/>
        <v>60</v>
      </c>
      <c r="H20" s="58" t="s">
        <v>171</v>
      </c>
      <c r="I20" s="58" t="s">
        <v>168</v>
      </c>
      <c r="J20" s="58"/>
      <c r="K20" s="58"/>
      <c r="L20" s="58"/>
      <c r="M20" s="58"/>
    </row>
    <row r="21" spans="1:13">
      <c r="A21" s="57">
        <v>45965</v>
      </c>
      <c r="B21" s="58" t="s">
        <v>139</v>
      </c>
      <c r="C21" s="65" t="s">
        <v>27</v>
      </c>
      <c r="D21" s="65" t="s">
        <v>172</v>
      </c>
      <c r="E21" s="58">
        <v>1</v>
      </c>
      <c r="F21" s="58">
        <v>10</v>
      </c>
      <c r="G21" s="58">
        <f t="shared" si="1"/>
        <v>10</v>
      </c>
      <c r="H21" s="58" t="s">
        <v>167</v>
      </c>
      <c r="I21" s="58" t="s">
        <v>28</v>
      </c>
      <c r="J21" s="66" t="s">
        <v>152</v>
      </c>
      <c r="K21" s="58"/>
      <c r="L21" s="58" t="s">
        <v>153</v>
      </c>
      <c r="M21" s="58"/>
    </row>
    <row r="22" spans="1:13">
      <c r="A22" s="57">
        <v>45965</v>
      </c>
      <c r="B22" s="58" t="s">
        <v>139</v>
      </c>
      <c r="C22" s="58" t="s">
        <v>31</v>
      </c>
      <c r="D22" s="58" t="s">
        <v>33</v>
      </c>
      <c r="E22" s="58">
        <v>1</v>
      </c>
      <c r="F22" s="58">
        <v>10</v>
      </c>
      <c r="G22" s="58">
        <f t="shared" si="1"/>
        <v>10</v>
      </c>
      <c r="H22" s="58" t="s">
        <v>171</v>
      </c>
      <c r="I22" s="58" t="s">
        <v>32</v>
      </c>
      <c r="J22" s="58"/>
      <c r="K22" s="58"/>
      <c r="L22" s="58"/>
      <c r="M22" s="58"/>
    </row>
    <row r="23" spans="1:13">
      <c r="A23" s="57">
        <v>45965</v>
      </c>
      <c r="B23" s="58" t="s">
        <v>139</v>
      </c>
      <c r="C23" s="65" t="s">
        <v>173</v>
      </c>
      <c r="D23" s="65" t="s">
        <v>174</v>
      </c>
      <c r="E23" s="58">
        <v>1</v>
      </c>
      <c r="F23" s="58">
        <v>10</v>
      </c>
      <c r="G23" s="58">
        <f t="shared" si="1"/>
        <v>10</v>
      </c>
      <c r="H23" s="58" t="s">
        <v>151</v>
      </c>
      <c r="I23" s="58" t="s">
        <v>175</v>
      </c>
      <c r="J23" s="65" t="s">
        <v>176</v>
      </c>
      <c r="K23" s="58"/>
      <c r="L23" s="58"/>
      <c r="M23" s="58"/>
    </row>
    <row r="24" spans="1:13">
      <c r="A24" s="57">
        <v>45965</v>
      </c>
      <c r="B24" s="58" t="s">
        <v>139</v>
      </c>
      <c r="C24" s="65" t="s">
        <v>42</v>
      </c>
      <c r="D24" s="65" t="s">
        <v>44</v>
      </c>
      <c r="E24" s="58">
        <v>1</v>
      </c>
      <c r="F24" s="58">
        <v>10</v>
      </c>
      <c r="G24" s="58">
        <f t="shared" si="1"/>
        <v>10</v>
      </c>
      <c r="H24" s="58" t="s">
        <v>151</v>
      </c>
      <c r="I24" s="58" t="s">
        <v>43</v>
      </c>
      <c r="J24" s="65" t="s">
        <v>176</v>
      </c>
      <c r="K24" s="58"/>
      <c r="L24" s="58"/>
      <c r="M24" s="58"/>
    </row>
    <row r="25" spans="1:13">
      <c r="A25" s="57">
        <v>45965</v>
      </c>
      <c r="B25" s="58" t="s">
        <v>139</v>
      </c>
      <c r="C25" s="65" t="s">
        <v>45</v>
      </c>
      <c r="D25" s="65" t="s">
        <v>177</v>
      </c>
      <c r="E25" s="58">
        <v>1</v>
      </c>
      <c r="F25" s="58">
        <v>10</v>
      </c>
      <c r="G25" s="58">
        <f t="shared" si="1"/>
        <v>10</v>
      </c>
      <c r="H25" s="58" t="s">
        <v>151</v>
      </c>
      <c r="I25" s="58" t="s">
        <v>46</v>
      </c>
      <c r="J25" s="65" t="s">
        <v>176</v>
      </c>
      <c r="K25" s="58"/>
      <c r="L25" s="58"/>
      <c r="M25" s="58"/>
    </row>
    <row r="26" spans="1:13">
      <c r="A26" s="57">
        <v>45965</v>
      </c>
      <c r="B26" s="58" t="s">
        <v>139</v>
      </c>
      <c r="C26" s="65" t="s">
        <v>48</v>
      </c>
      <c r="D26" s="65" t="s">
        <v>50</v>
      </c>
      <c r="E26" s="58">
        <v>1</v>
      </c>
      <c r="F26" s="58">
        <v>10</v>
      </c>
      <c r="G26" s="58">
        <f t="shared" si="1"/>
        <v>10</v>
      </c>
      <c r="H26" s="58" t="s">
        <v>151</v>
      </c>
      <c r="I26" s="58" t="s">
        <v>49</v>
      </c>
      <c r="J26" s="65" t="s">
        <v>176</v>
      </c>
      <c r="K26" s="58"/>
      <c r="L26" s="58"/>
      <c r="M26" s="58"/>
    </row>
    <row r="27" spans="1:13">
      <c r="A27" s="57">
        <v>45965</v>
      </c>
      <c r="B27" s="58" t="s">
        <v>139</v>
      </c>
      <c r="C27" s="65" t="s">
        <v>51</v>
      </c>
      <c r="D27" s="65" t="s">
        <v>178</v>
      </c>
      <c r="E27" s="58">
        <v>1</v>
      </c>
      <c r="F27" s="58">
        <v>10</v>
      </c>
      <c r="G27" s="58">
        <f t="shared" si="1"/>
        <v>10</v>
      </c>
      <c r="H27" s="58" t="s">
        <v>151</v>
      </c>
      <c r="I27" s="58" t="s">
        <v>52</v>
      </c>
      <c r="J27" s="66" t="s">
        <v>152</v>
      </c>
      <c r="K27" s="58"/>
      <c r="L27" s="58" t="s">
        <v>179</v>
      </c>
      <c r="M27" s="58"/>
    </row>
    <row r="28" spans="1:13">
      <c r="A28" s="57">
        <v>45965</v>
      </c>
      <c r="B28" s="58" t="s">
        <v>139</v>
      </c>
      <c r="C28" s="65" t="s">
        <v>54</v>
      </c>
      <c r="D28" s="65" t="s">
        <v>180</v>
      </c>
      <c r="E28" s="58">
        <v>1</v>
      </c>
      <c r="F28" s="58">
        <v>10</v>
      </c>
      <c r="G28" s="58">
        <f t="shared" si="1"/>
        <v>10</v>
      </c>
      <c r="H28" s="58" t="s">
        <v>181</v>
      </c>
      <c r="I28" s="58" t="s">
        <v>55</v>
      </c>
      <c r="J28" s="68" t="s">
        <v>176</v>
      </c>
      <c r="K28" s="69">
        <v>46367</v>
      </c>
      <c r="L28" s="70" t="s">
        <v>182</v>
      </c>
      <c r="M28" s="70" t="s">
        <v>183</v>
      </c>
    </row>
    <row r="29" spans="1:13">
      <c r="A29" s="57">
        <v>45965</v>
      </c>
      <c r="B29" s="58" t="s">
        <v>139</v>
      </c>
      <c r="C29" s="65" t="s">
        <v>57</v>
      </c>
      <c r="D29" s="65" t="s">
        <v>58</v>
      </c>
      <c r="E29" s="58">
        <v>2</v>
      </c>
      <c r="F29" s="58">
        <v>10</v>
      </c>
      <c r="G29" s="58">
        <f t="shared" si="1"/>
        <v>20</v>
      </c>
      <c r="H29" s="58" t="s">
        <v>181</v>
      </c>
      <c r="I29" s="58" t="s">
        <v>55</v>
      </c>
      <c r="J29" s="71"/>
      <c r="K29" s="72"/>
      <c r="L29" s="72"/>
      <c r="M29" s="72"/>
    </row>
    <row r="30" spans="1:13">
      <c r="A30" s="57">
        <v>45965</v>
      </c>
      <c r="B30" s="58" t="s">
        <v>139</v>
      </c>
      <c r="C30" s="65" t="s">
        <v>57</v>
      </c>
      <c r="D30" s="65" t="s">
        <v>59</v>
      </c>
      <c r="E30" s="58">
        <v>2</v>
      </c>
      <c r="F30" s="58">
        <v>10</v>
      </c>
      <c r="G30" s="58">
        <f t="shared" si="1"/>
        <v>20</v>
      </c>
      <c r="H30" s="58" t="s">
        <v>181</v>
      </c>
      <c r="I30" s="58" t="s">
        <v>55</v>
      </c>
      <c r="J30" s="71"/>
      <c r="K30" s="72"/>
      <c r="L30" s="72"/>
      <c r="M30" s="72"/>
    </row>
    <row r="31" spans="1:13">
      <c r="A31" s="57">
        <v>45965</v>
      </c>
      <c r="B31" s="58" t="s">
        <v>139</v>
      </c>
      <c r="C31" s="65" t="s">
        <v>60</v>
      </c>
      <c r="D31" s="65" t="s">
        <v>61</v>
      </c>
      <c r="E31" s="58">
        <v>6</v>
      </c>
      <c r="F31" s="58">
        <v>10</v>
      </c>
      <c r="G31" s="58">
        <f t="shared" si="1"/>
        <v>60</v>
      </c>
      <c r="H31" s="58" t="s">
        <v>181</v>
      </c>
      <c r="I31" s="58" t="s">
        <v>55</v>
      </c>
      <c r="J31" s="71"/>
      <c r="K31" s="72"/>
      <c r="L31" s="72"/>
      <c r="M31" s="72"/>
    </row>
    <row r="32" spans="1:13">
      <c r="A32" s="57">
        <v>45965</v>
      </c>
      <c r="B32" s="58" t="s">
        <v>139</v>
      </c>
      <c r="C32" s="65" t="s">
        <v>62</v>
      </c>
      <c r="D32" s="65" t="s">
        <v>63</v>
      </c>
      <c r="E32" s="58">
        <v>6</v>
      </c>
      <c r="F32" s="58">
        <v>10</v>
      </c>
      <c r="G32" s="58">
        <f t="shared" si="1"/>
        <v>60</v>
      </c>
      <c r="H32" s="58" t="s">
        <v>181</v>
      </c>
      <c r="I32" s="58" t="s">
        <v>55</v>
      </c>
      <c r="J32" s="71"/>
      <c r="K32" s="72"/>
      <c r="L32" s="72"/>
      <c r="M32" s="72"/>
    </row>
    <row r="33" spans="1:13">
      <c r="A33" s="57">
        <v>45965</v>
      </c>
      <c r="B33" s="58" t="s">
        <v>139</v>
      </c>
      <c r="C33" s="65" t="s">
        <v>64</v>
      </c>
      <c r="D33" s="65" t="s">
        <v>184</v>
      </c>
      <c r="E33" s="58">
        <v>6</v>
      </c>
      <c r="F33" s="58">
        <v>10</v>
      </c>
      <c r="G33" s="58">
        <f t="shared" si="1"/>
        <v>60</v>
      </c>
      <c r="H33" s="58" t="s">
        <v>181</v>
      </c>
      <c r="I33" s="58" t="s">
        <v>65</v>
      </c>
      <c r="J33" s="71"/>
      <c r="K33" s="72"/>
      <c r="L33" s="72"/>
      <c r="M33" s="72"/>
    </row>
    <row r="34" spans="1:13">
      <c r="A34" s="57">
        <v>45965</v>
      </c>
      <c r="B34" s="58" t="s">
        <v>139</v>
      </c>
      <c r="C34" s="65" t="s">
        <v>67</v>
      </c>
      <c r="D34" s="65" t="s">
        <v>68</v>
      </c>
      <c r="E34" s="58">
        <v>9</v>
      </c>
      <c r="F34" s="58">
        <v>10</v>
      </c>
      <c r="G34" s="58">
        <f t="shared" si="1"/>
        <v>90</v>
      </c>
      <c r="H34" s="58" t="s">
        <v>171</v>
      </c>
      <c r="I34" s="58" t="s">
        <v>55</v>
      </c>
      <c r="J34" s="71"/>
      <c r="K34" s="72"/>
      <c r="L34" s="72"/>
      <c r="M34" s="72"/>
    </row>
    <row r="35" spans="1:13">
      <c r="A35" s="57">
        <v>45965</v>
      </c>
      <c r="B35" s="58" t="s">
        <v>139</v>
      </c>
      <c r="C35" s="65" t="s">
        <v>67</v>
      </c>
      <c r="D35" s="65" t="s">
        <v>69</v>
      </c>
      <c r="E35" s="58">
        <v>2</v>
      </c>
      <c r="F35" s="58">
        <v>10</v>
      </c>
      <c r="G35" s="58">
        <f t="shared" si="1"/>
        <v>20</v>
      </c>
      <c r="H35" s="58" t="s">
        <v>171</v>
      </c>
      <c r="I35" s="58" t="s">
        <v>55</v>
      </c>
      <c r="J35" s="71"/>
      <c r="K35" s="72"/>
      <c r="L35" s="72"/>
      <c r="M35" s="72"/>
    </row>
    <row r="36" spans="1:13">
      <c r="A36" s="57">
        <v>45965</v>
      </c>
      <c r="B36" s="58" t="s">
        <v>139</v>
      </c>
      <c r="C36" s="65" t="s">
        <v>67</v>
      </c>
      <c r="D36" s="65" t="s">
        <v>70</v>
      </c>
      <c r="E36" s="58">
        <v>12</v>
      </c>
      <c r="F36" s="58">
        <v>10</v>
      </c>
      <c r="G36" s="58">
        <f t="shared" si="1"/>
        <v>120</v>
      </c>
      <c r="H36" s="58" t="s">
        <v>171</v>
      </c>
      <c r="I36" s="58" t="s">
        <v>55</v>
      </c>
      <c r="J36" s="71"/>
      <c r="K36" s="72"/>
      <c r="L36" s="72"/>
      <c r="M36" s="72"/>
    </row>
    <row r="37" spans="1:13">
      <c r="A37" s="57">
        <v>45965</v>
      </c>
      <c r="B37" s="58" t="s">
        <v>139</v>
      </c>
      <c r="C37" s="65" t="s">
        <v>71</v>
      </c>
      <c r="D37" s="65" t="s">
        <v>72</v>
      </c>
      <c r="E37" s="58">
        <v>10</v>
      </c>
      <c r="F37" s="58">
        <v>10</v>
      </c>
      <c r="G37" s="58">
        <f t="shared" si="1"/>
        <v>100</v>
      </c>
      <c r="H37" s="58" t="s">
        <v>171</v>
      </c>
      <c r="I37" s="58" t="s">
        <v>55</v>
      </c>
      <c r="J37" s="73"/>
      <c r="K37" s="74"/>
      <c r="L37" s="74"/>
      <c r="M37" s="74"/>
    </row>
    <row r="38" spans="1:13">
      <c r="A38" s="57">
        <v>45965</v>
      </c>
      <c r="B38" s="58" t="s">
        <v>139</v>
      </c>
      <c r="C38" s="58" t="s">
        <v>76</v>
      </c>
      <c r="D38" s="58" t="s">
        <v>78</v>
      </c>
      <c r="E38" s="58">
        <v>1</v>
      </c>
      <c r="F38" s="58">
        <v>10</v>
      </c>
      <c r="G38" s="58">
        <f t="shared" si="1"/>
        <v>10</v>
      </c>
      <c r="H38" s="58" t="s">
        <v>185</v>
      </c>
      <c r="I38" s="58" t="s">
        <v>77</v>
      </c>
      <c r="J38" s="58"/>
      <c r="K38" s="58"/>
      <c r="L38" s="58"/>
      <c r="M38" s="58"/>
    </row>
    <row r="39" spans="1:13">
      <c r="A39" s="57">
        <v>45965</v>
      </c>
      <c r="B39" s="58" t="s">
        <v>139</v>
      </c>
      <c r="C39" s="65" t="s">
        <v>79</v>
      </c>
      <c r="D39" s="65" t="s">
        <v>80</v>
      </c>
      <c r="E39" s="58">
        <v>1</v>
      </c>
      <c r="F39" s="58">
        <v>10</v>
      </c>
      <c r="G39" s="58">
        <f t="shared" si="1"/>
        <v>10</v>
      </c>
      <c r="H39" s="58" t="s">
        <v>185</v>
      </c>
      <c r="I39" s="58" t="s">
        <v>77</v>
      </c>
      <c r="J39" s="65" t="s">
        <v>176</v>
      </c>
      <c r="K39" s="58"/>
      <c r="L39" s="58"/>
      <c r="M39" s="58"/>
    </row>
    <row r="40" spans="1:13">
      <c r="A40" s="57">
        <v>45965</v>
      </c>
      <c r="B40" s="58" t="s">
        <v>139</v>
      </c>
      <c r="C40" s="65" t="s">
        <v>81</v>
      </c>
      <c r="D40" s="65" t="s">
        <v>82</v>
      </c>
      <c r="E40" s="58">
        <v>1</v>
      </c>
      <c r="F40" s="58">
        <v>10</v>
      </c>
      <c r="G40" s="58">
        <f t="shared" si="1"/>
        <v>10</v>
      </c>
      <c r="H40" s="58" t="s">
        <v>185</v>
      </c>
      <c r="I40" s="58" t="s">
        <v>77</v>
      </c>
      <c r="J40" s="65" t="s">
        <v>176</v>
      </c>
      <c r="K40" s="58"/>
      <c r="L40" s="58"/>
      <c r="M40" s="58"/>
    </row>
    <row r="41" spans="1:13">
      <c r="A41" s="57">
        <v>45965</v>
      </c>
      <c r="B41" s="58" t="s">
        <v>139</v>
      </c>
      <c r="C41" s="58" t="s">
        <v>83</v>
      </c>
      <c r="D41" s="58" t="s">
        <v>84</v>
      </c>
      <c r="E41" s="58">
        <v>1</v>
      </c>
      <c r="F41" s="58">
        <v>10</v>
      </c>
      <c r="G41" s="58">
        <f t="shared" si="1"/>
        <v>10</v>
      </c>
      <c r="H41" s="58" t="s">
        <v>167</v>
      </c>
      <c r="I41" s="58" t="s">
        <v>26</v>
      </c>
      <c r="J41" s="58"/>
      <c r="K41" s="58"/>
      <c r="L41" s="58"/>
      <c r="M41" s="58"/>
    </row>
    <row r="42" spans="1:13">
      <c r="A42" s="57">
        <v>45965</v>
      </c>
      <c r="B42" s="58" t="s">
        <v>139</v>
      </c>
      <c r="C42" s="58" t="s">
        <v>85</v>
      </c>
      <c r="D42" s="58" t="s">
        <v>86</v>
      </c>
      <c r="E42" s="58">
        <v>4</v>
      </c>
      <c r="F42" s="58">
        <v>10</v>
      </c>
      <c r="G42" s="58">
        <f t="shared" si="1"/>
        <v>40</v>
      </c>
      <c r="H42" s="58" t="s">
        <v>167</v>
      </c>
      <c r="I42" s="58" t="s">
        <v>26</v>
      </c>
      <c r="J42" s="58"/>
      <c r="K42" s="58"/>
      <c r="L42" s="58"/>
      <c r="M42" s="58"/>
    </row>
    <row r="43" spans="1:13">
      <c r="A43" s="57">
        <v>45965</v>
      </c>
      <c r="B43" s="58" t="s">
        <v>139</v>
      </c>
      <c r="C43" s="58" t="s">
        <v>90</v>
      </c>
      <c r="D43" s="58" t="s">
        <v>91</v>
      </c>
      <c r="E43" s="58">
        <v>12</v>
      </c>
      <c r="F43" s="58">
        <v>10</v>
      </c>
      <c r="G43" s="58">
        <f t="shared" si="1"/>
        <v>120</v>
      </c>
      <c r="H43" s="58" t="s">
        <v>167</v>
      </c>
      <c r="I43" s="58" t="s">
        <v>26</v>
      </c>
      <c r="J43" s="58"/>
      <c r="K43" s="58"/>
      <c r="L43" s="58"/>
      <c r="M43" s="58"/>
    </row>
    <row r="44" spans="1:13">
      <c r="A44" s="57">
        <v>45965</v>
      </c>
      <c r="B44" s="58" t="s">
        <v>139</v>
      </c>
      <c r="C44" s="58" t="s">
        <v>92</v>
      </c>
      <c r="D44" s="58" t="s">
        <v>93</v>
      </c>
      <c r="E44" s="58">
        <v>2</v>
      </c>
      <c r="F44" s="58">
        <v>10</v>
      </c>
      <c r="G44" s="58">
        <f t="shared" si="1"/>
        <v>20</v>
      </c>
      <c r="H44" s="58" t="s">
        <v>167</v>
      </c>
      <c r="I44" s="58" t="s">
        <v>26</v>
      </c>
      <c r="J44" s="58"/>
      <c r="K44" s="58"/>
      <c r="L44" s="58"/>
      <c r="M44" s="58"/>
    </row>
    <row r="45" spans="1:13">
      <c r="A45" s="57">
        <v>45965</v>
      </c>
      <c r="B45" s="58" t="s">
        <v>139</v>
      </c>
      <c r="C45" s="58" t="s">
        <v>186</v>
      </c>
      <c r="D45" s="58"/>
      <c r="E45" s="58">
        <v>6</v>
      </c>
      <c r="F45" s="58">
        <v>10</v>
      </c>
      <c r="G45" s="58">
        <f t="shared" si="1"/>
        <v>60</v>
      </c>
      <c r="H45" s="58" t="s">
        <v>167</v>
      </c>
      <c r="I45" s="58" t="s">
        <v>26</v>
      </c>
      <c r="J45" s="58"/>
      <c r="K45" s="58"/>
      <c r="L45" s="58"/>
      <c r="M45" s="58"/>
    </row>
    <row r="46" spans="1:13">
      <c r="A46" s="57">
        <v>45965</v>
      </c>
      <c r="B46" s="58" t="s">
        <v>139</v>
      </c>
      <c r="C46" s="58" t="s">
        <v>95</v>
      </c>
      <c r="D46" s="58"/>
      <c r="E46" s="58">
        <v>6</v>
      </c>
      <c r="F46" s="58">
        <v>10</v>
      </c>
      <c r="G46" s="58">
        <f t="shared" si="1"/>
        <v>60</v>
      </c>
      <c r="H46" s="58" t="s">
        <v>167</v>
      </c>
      <c r="I46" s="58" t="s">
        <v>26</v>
      </c>
      <c r="J46" s="58"/>
      <c r="K46" s="58"/>
      <c r="L46" s="58"/>
      <c r="M46" s="58"/>
    </row>
    <row r="47" spans="1:13">
      <c r="A47" s="57">
        <v>45965</v>
      </c>
      <c r="B47" s="58" t="s">
        <v>139</v>
      </c>
      <c r="C47" s="58" t="s">
        <v>96</v>
      </c>
      <c r="D47" s="58"/>
      <c r="E47" s="58">
        <v>6</v>
      </c>
      <c r="F47" s="58">
        <v>10</v>
      </c>
      <c r="G47" s="58">
        <f t="shared" si="1"/>
        <v>60</v>
      </c>
      <c r="H47" s="58" t="s">
        <v>167</v>
      </c>
      <c r="I47" s="58" t="s">
        <v>26</v>
      </c>
      <c r="J47" s="58"/>
      <c r="K47" s="58"/>
      <c r="L47" s="58"/>
      <c r="M47" s="58"/>
    </row>
    <row r="48" spans="1:13">
      <c r="A48" s="57">
        <v>45965</v>
      </c>
      <c r="B48" s="58" t="s">
        <v>139</v>
      </c>
      <c r="C48" s="58" t="s">
        <v>100</v>
      </c>
      <c r="D48" s="58"/>
      <c r="E48" s="58">
        <v>6</v>
      </c>
      <c r="F48" s="58">
        <v>10</v>
      </c>
      <c r="G48" s="58">
        <f t="shared" si="1"/>
        <v>60</v>
      </c>
      <c r="H48" s="58" t="s">
        <v>171</v>
      </c>
      <c r="I48" s="58" t="s">
        <v>26</v>
      </c>
      <c r="J48" s="58"/>
      <c r="K48" s="58"/>
      <c r="L48" s="58"/>
      <c r="M48" s="58"/>
    </row>
    <row r="49" spans="1:13">
      <c r="A49" s="57">
        <v>45965</v>
      </c>
      <c r="B49" s="58" t="s">
        <v>139</v>
      </c>
      <c r="C49" s="58" t="s">
        <v>105</v>
      </c>
      <c r="D49" s="58" t="s">
        <v>107</v>
      </c>
      <c r="E49" s="58">
        <v>2</v>
      </c>
      <c r="F49" s="58">
        <v>10</v>
      </c>
      <c r="G49" s="58">
        <f t="shared" si="1"/>
        <v>20</v>
      </c>
      <c r="H49" s="58" t="s">
        <v>151</v>
      </c>
      <c r="I49" s="58" t="s">
        <v>106</v>
      </c>
      <c r="J49" s="58"/>
      <c r="K49" s="58"/>
      <c r="L49" s="58"/>
      <c r="M49" s="58"/>
    </row>
    <row r="50" spans="1:13">
      <c r="A50" s="57">
        <v>45965</v>
      </c>
      <c r="B50" s="58" t="s">
        <v>139</v>
      </c>
      <c r="C50" s="65" t="s">
        <v>108</v>
      </c>
      <c r="D50" s="65" t="s">
        <v>110</v>
      </c>
      <c r="E50" s="58">
        <v>1</v>
      </c>
      <c r="F50" s="58">
        <v>10</v>
      </c>
      <c r="G50" s="58">
        <f t="shared" si="1"/>
        <v>10</v>
      </c>
      <c r="H50" s="58" t="s">
        <v>185</v>
      </c>
      <c r="I50" s="58" t="s">
        <v>109</v>
      </c>
      <c r="J50" s="75" t="s">
        <v>176</v>
      </c>
      <c r="K50" s="58"/>
      <c r="L50" s="58"/>
      <c r="M50" s="58"/>
    </row>
    <row r="51" spans="1:13">
      <c r="A51" s="57">
        <v>45965</v>
      </c>
      <c r="B51" s="58" t="s">
        <v>139</v>
      </c>
      <c r="C51" s="65" t="s">
        <v>111</v>
      </c>
      <c r="D51" s="65" t="s">
        <v>112</v>
      </c>
      <c r="E51" s="58">
        <v>1</v>
      </c>
      <c r="F51" s="58">
        <v>10</v>
      </c>
      <c r="G51" s="58">
        <f t="shared" si="1"/>
        <v>10</v>
      </c>
      <c r="H51" s="58" t="s">
        <v>171</v>
      </c>
      <c r="I51" s="58" t="s">
        <v>109</v>
      </c>
      <c r="J51" s="76"/>
      <c r="K51" s="58"/>
      <c r="L51" s="58"/>
      <c r="M51" s="58"/>
    </row>
    <row r="52" spans="1:13">
      <c r="A52" s="57">
        <v>45965</v>
      </c>
      <c r="B52" s="58" t="s">
        <v>139</v>
      </c>
      <c r="C52" s="65" t="s">
        <v>113</v>
      </c>
      <c r="D52" s="65" t="s">
        <v>115</v>
      </c>
      <c r="E52" s="58">
        <v>1</v>
      </c>
      <c r="F52" s="58">
        <v>10</v>
      </c>
      <c r="G52" s="58">
        <f t="shared" si="1"/>
        <v>10</v>
      </c>
      <c r="H52" s="58" t="s">
        <v>171</v>
      </c>
      <c r="I52" s="58" t="s">
        <v>114</v>
      </c>
      <c r="J52" s="76"/>
      <c r="K52" s="58"/>
      <c r="L52" s="58"/>
      <c r="M52" s="58"/>
    </row>
    <row r="53" spans="1:13">
      <c r="A53" s="57">
        <v>45965</v>
      </c>
      <c r="B53" s="58" t="s">
        <v>139</v>
      </c>
      <c r="C53" s="65" t="s">
        <v>116</v>
      </c>
      <c r="D53" s="65" t="s">
        <v>117</v>
      </c>
      <c r="E53" s="58">
        <v>1</v>
      </c>
      <c r="F53" s="58">
        <v>10</v>
      </c>
      <c r="G53" s="58">
        <f t="shared" si="1"/>
        <v>10</v>
      </c>
      <c r="H53" s="58" t="s">
        <v>171</v>
      </c>
      <c r="I53" s="58" t="s">
        <v>55</v>
      </c>
      <c r="J53" s="76"/>
      <c r="K53" s="58"/>
      <c r="L53" s="58"/>
      <c r="M53" s="58"/>
    </row>
    <row r="54" spans="1:13">
      <c r="A54" s="57">
        <v>45965</v>
      </c>
      <c r="B54" s="58" t="s">
        <v>139</v>
      </c>
      <c r="C54" s="65" t="s">
        <v>116</v>
      </c>
      <c r="D54" s="65" t="s">
        <v>118</v>
      </c>
      <c r="E54" s="58">
        <v>1</v>
      </c>
      <c r="F54" s="58">
        <v>10</v>
      </c>
      <c r="G54" s="58">
        <f t="shared" si="1"/>
        <v>10</v>
      </c>
      <c r="H54" s="58" t="s">
        <v>171</v>
      </c>
      <c r="I54" s="58" t="s">
        <v>55</v>
      </c>
      <c r="J54" s="76"/>
      <c r="K54" s="58"/>
      <c r="L54" s="58"/>
      <c r="M54" s="58"/>
    </row>
    <row r="55" spans="1:13">
      <c r="A55" s="57">
        <v>45965</v>
      </c>
      <c r="B55" s="58" t="s">
        <v>139</v>
      </c>
      <c r="C55" s="65" t="s">
        <v>116</v>
      </c>
      <c r="D55" s="65" t="s">
        <v>119</v>
      </c>
      <c r="E55" s="58">
        <v>7</v>
      </c>
      <c r="F55" s="58">
        <v>10</v>
      </c>
      <c r="G55" s="58">
        <f t="shared" si="1"/>
        <v>70</v>
      </c>
      <c r="H55" s="58" t="s">
        <v>171</v>
      </c>
      <c r="I55" s="58" t="s">
        <v>55</v>
      </c>
      <c r="J55" s="77"/>
      <c r="K55" s="58"/>
      <c r="L55" s="58"/>
      <c r="M55" s="58"/>
    </row>
    <row r="56" spans="1:13">
      <c r="A56" s="58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</row>
    <row r="57" spans="1:13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</row>
    <row r="58" spans="1:13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</row>
    <row r="59" spans="1:13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</row>
    <row r="60" spans="1:13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</row>
    <row r="61" spans="1:13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</row>
    <row r="62" spans="1:13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</row>
    <row r="63" spans="1:13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</row>
    <row r="64" spans="1:13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</row>
    <row r="65" spans="1:13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</row>
    <row r="66" spans="1:13">
      <c r="A66" s="58"/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</row>
    <row r="67" spans="1:13">
      <c r="A67" s="58"/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</row>
    <row r="68" spans="1:13">
      <c r="A68" s="58"/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</row>
    <row r="69" spans="1:13">
      <c r="A69" s="58"/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</row>
    <row r="70" spans="1:13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</row>
    <row r="71" spans="1:13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</row>
    <row r="72" spans="1:13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</row>
    <row r="73" spans="1:13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</row>
    <row r="74" spans="1:13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</row>
    <row r="75" spans="1:13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</row>
    <row r="76" spans="1:13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</row>
    <row r="77" spans="1:13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</row>
    <row r="78" spans="1:13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</row>
    <row r="79" spans="1:13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</row>
    <row r="80" spans="1:13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</row>
    <row r="81" spans="1:13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</row>
    <row r="82" spans="1:13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</row>
    <row r="83" spans="1:13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</row>
    <row r="84" spans="1:13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</row>
    <row r="85" spans="1:13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</row>
    <row r="86" spans="1:13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</row>
    <row r="87" spans="1:13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</row>
    <row r="88" spans="1:13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</row>
    <row r="89" spans="1:13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</row>
    <row r="90" spans="1:13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</row>
    <row r="91" spans="1:13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</row>
    <row r="92" spans="1:13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</row>
    <row r="93" spans="1:13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</row>
    <row r="94" spans="1:13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</row>
    <row r="95" spans="1:13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</row>
    <row r="96" spans="1:13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</row>
    <row r="97" spans="1:13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</row>
    <row r="98" spans="1:13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</row>
    <row r="99" spans="1:13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</row>
    <row r="100" spans="1:13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</row>
    <row r="101" spans="1:13">
      <c r="A101" s="58"/>
      <c r="B101" s="5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</row>
    <row r="102" spans="1:13">
      <c r="A102" s="58"/>
      <c r="B102" s="5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</row>
    <row r="103" spans="1:13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</row>
    <row r="104" spans="1:13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</row>
    <row r="105" spans="1:13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</row>
    <row r="106" spans="1:13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</row>
    <row r="107" spans="1:13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</row>
    <row r="108" spans="1:13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</row>
    <row r="109" spans="1:13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</row>
    <row r="110" spans="1:13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</row>
    <row r="111" spans="1:13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</row>
    <row r="112" spans="1:13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</row>
    <row r="113" spans="1:13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</row>
    <row r="114" spans="1:13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</row>
    <row r="115" spans="1:13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</row>
    <row r="116" spans="1:13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</row>
    <row r="117" spans="1:13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</row>
    <row r="118" spans="1:13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</row>
    <row r="119" spans="1:13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</row>
    <row r="120" spans="1:13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</row>
    <row r="121" spans="1:13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</row>
    <row r="122" spans="1:13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</row>
    <row r="123" spans="1:13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</row>
    <row r="124" spans="1:13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</row>
    <row r="125" spans="1:13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</row>
    <row r="126" spans="1:13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</row>
    <row r="127" spans="1:13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</row>
    <row r="128" spans="1:13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</row>
    <row r="129" spans="1:13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</row>
    <row r="130" spans="1:13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</row>
    <row r="131" spans="1:13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</row>
    <row r="132" spans="1:13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</row>
    <row r="133" spans="1:13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</row>
    <row r="134" spans="1:13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</row>
    <row r="135" spans="1:13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</row>
    <row r="136" spans="1:13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</row>
    <row r="137" spans="1:13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</row>
    <row r="138" spans="1:13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</row>
    <row r="139" spans="1:13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</row>
    <row r="140" spans="1:13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</row>
    <row r="141" spans="1:13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</row>
    <row r="142" spans="1:13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</row>
    <row r="143" spans="1:13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</row>
    <row r="144" spans="1:13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</row>
    <row r="145" spans="1:13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</row>
    <row r="146" spans="1:13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</row>
    <row r="147" spans="1:13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</row>
    <row r="148" spans="1:13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</row>
    <row r="149" spans="1:13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</row>
    <row r="150" spans="1:13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</row>
    <row r="151" spans="1:13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</row>
    <row r="152" spans="1:13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</row>
    <row r="153" spans="1:13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</row>
    <row r="154" spans="1:13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</row>
    <row r="155" spans="1:13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</row>
    <row r="156" spans="1:13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</row>
    <row r="157" spans="1:13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</row>
    <row r="158" spans="1:13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</row>
    <row r="159" spans="1:13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</row>
    <row r="160" spans="1:13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</row>
    <row r="161" spans="1:13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</row>
    <row r="162" spans="1:13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</row>
    <row r="163" spans="1:13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</row>
    <row r="164" spans="1:13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</row>
    <row r="165" spans="1:13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</row>
  </sheetData>
  <autoFilter xmlns:etc="http://www.wps.cn/officeDocument/2017/etCustomData" ref="A1:M55" etc:filterBottomFollowUsedRange="0">
    <extLst/>
  </autoFilter>
  <mergeCells count="9">
    <mergeCell ref="J2:J11"/>
    <mergeCell ref="J28:J37"/>
    <mergeCell ref="J50:J55"/>
    <mergeCell ref="K2:K11"/>
    <mergeCell ref="K28:K37"/>
    <mergeCell ref="L2:L11"/>
    <mergeCell ref="L28:L37"/>
    <mergeCell ref="M2:M11"/>
    <mergeCell ref="M28:M37"/>
  </mergeCells>
  <dataValidations count="1">
    <dataValidation type="list" allowBlank="1" showInputMessage="1" showErrorMessage="1" sqref="J2:J55">
      <formula1>"已到货,未到货,到货不全"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tabSelected="1" zoomScale="90" zoomScaleNormal="90" workbookViewId="0">
      <selection activeCell="M26" sqref="L26:M26"/>
    </sheetView>
  </sheetViews>
  <sheetFormatPr defaultColWidth="8.66666666666667" defaultRowHeight="14"/>
  <cols>
    <col min="1" max="1" width="9.25"/>
    <col min="3" max="3" width="20.6666666666667" customWidth="1"/>
    <col min="4" max="4" width="37.5833333333333" customWidth="1"/>
  </cols>
  <sheetData>
    <row r="1" s="1" customFormat="1" ht="30.65" customHeight="1" spans="1:14">
      <c r="A1" s="2" t="s">
        <v>128</v>
      </c>
      <c r="B1" s="3" t="s">
        <v>129</v>
      </c>
      <c r="C1" s="4" t="s">
        <v>130</v>
      </c>
      <c r="D1" s="2" t="s">
        <v>131</v>
      </c>
      <c r="E1" s="2" t="s">
        <v>4</v>
      </c>
      <c r="F1" s="2" t="s">
        <v>132</v>
      </c>
      <c r="G1" s="3" t="s">
        <v>133</v>
      </c>
      <c r="H1" s="3" t="s">
        <v>134</v>
      </c>
      <c r="I1" s="3" t="s">
        <v>2</v>
      </c>
      <c r="J1" s="3" t="s">
        <v>135</v>
      </c>
      <c r="K1" s="2" t="s">
        <v>136</v>
      </c>
      <c r="L1" s="2" t="s">
        <v>137</v>
      </c>
      <c r="M1" s="3" t="s">
        <v>138</v>
      </c>
      <c r="N1" s="5"/>
    </row>
    <row r="2" spans="1:14">
      <c r="A2" s="6">
        <v>46059</v>
      </c>
      <c r="B2" s="7" t="s">
        <v>187</v>
      </c>
      <c r="C2" s="7" t="s">
        <v>188</v>
      </c>
      <c r="D2" s="7" t="s">
        <v>189</v>
      </c>
      <c r="E2" s="7">
        <v>60</v>
      </c>
      <c r="F2" s="7">
        <v>1</v>
      </c>
      <c r="G2" s="7"/>
      <c r="H2" s="7" t="s">
        <v>190</v>
      </c>
      <c r="I2" s="7" t="s">
        <v>74</v>
      </c>
      <c r="J2" s="40" t="s">
        <v>162</v>
      </c>
      <c r="K2" s="7"/>
      <c r="L2" s="16" t="s">
        <v>191</v>
      </c>
      <c r="M2" s="7"/>
    </row>
    <row r="3" spans="1:14">
      <c r="A3" s="6">
        <v>46059</v>
      </c>
      <c r="B3" s="7" t="s">
        <v>187</v>
      </c>
      <c r="C3" s="7" t="s">
        <v>192</v>
      </c>
      <c r="D3" s="7" t="s">
        <v>193</v>
      </c>
      <c r="E3" s="7">
        <v>60</v>
      </c>
      <c r="F3" s="7">
        <v>1</v>
      </c>
      <c r="G3" s="7"/>
      <c r="H3" s="7" t="s">
        <v>190</v>
      </c>
      <c r="I3" s="7" t="s">
        <v>74</v>
      </c>
      <c r="J3" s="50"/>
      <c r="K3" s="7"/>
      <c r="L3" s="11"/>
      <c r="M3" s="7"/>
    </row>
    <row r="4" spans="1:14">
      <c r="A4" s="6">
        <v>46059</v>
      </c>
      <c r="B4" s="7" t="s">
        <v>187</v>
      </c>
      <c r="C4" s="7" t="s">
        <v>194</v>
      </c>
      <c r="D4" s="7" t="s">
        <v>195</v>
      </c>
      <c r="E4" s="7">
        <v>60</v>
      </c>
      <c r="F4" s="7">
        <v>1</v>
      </c>
      <c r="G4" s="7"/>
      <c r="H4" s="7" t="s">
        <v>190</v>
      </c>
      <c r="I4" s="7" t="s">
        <v>74</v>
      </c>
      <c r="J4" s="50"/>
      <c r="K4" s="7"/>
      <c r="L4" s="11"/>
      <c r="M4" s="7"/>
    </row>
    <row r="5" spans="1:14">
      <c r="A5" s="6">
        <v>46059</v>
      </c>
      <c r="B5" s="7" t="s">
        <v>187</v>
      </c>
      <c r="C5" s="7" t="s">
        <v>196</v>
      </c>
      <c r="D5" s="7" t="s">
        <v>197</v>
      </c>
      <c r="E5" s="7">
        <v>60</v>
      </c>
      <c r="F5" s="7">
        <v>1</v>
      </c>
      <c r="G5" s="7"/>
      <c r="H5" s="7" t="s">
        <v>190</v>
      </c>
      <c r="I5" s="7" t="s">
        <v>74</v>
      </c>
      <c r="J5" s="50"/>
      <c r="K5" s="7"/>
      <c r="L5" s="11"/>
      <c r="M5" s="7"/>
    </row>
    <row r="6" spans="1:14">
      <c r="A6" s="6">
        <v>46059</v>
      </c>
      <c r="B6" s="7" t="s">
        <v>187</v>
      </c>
      <c r="C6" s="7" t="s">
        <v>198</v>
      </c>
      <c r="D6" s="7" t="s">
        <v>199</v>
      </c>
      <c r="E6" s="7">
        <v>60</v>
      </c>
      <c r="F6" s="7">
        <v>1</v>
      </c>
      <c r="G6" s="7"/>
      <c r="H6" s="7" t="s">
        <v>190</v>
      </c>
      <c r="I6" s="7" t="s">
        <v>74</v>
      </c>
      <c r="J6" s="50"/>
      <c r="K6" s="7"/>
      <c r="L6" s="11"/>
      <c r="M6" s="7"/>
    </row>
    <row r="7" spans="1:14">
      <c r="A7" s="6">
        <v>46059</v>
      </c>
      <c r="B7" s="7" t="s">
        <v>187</v>
      </c>
      <c r="C7" s="7" t="s">
        <v>200</v>
      </c>
      <c r="D7" s="7" t="s">
        <v>201</v>
      </c>
      <c r="E7" s="7">
        <v>60</v>
      </c>
      <c r="F7" s="7">
        <v>1</v>
      </c>
      <c r="G7" s="7"/>
      <c r="H7" s="7" t="s">
        <v>190</v>
      </c>
      <c r="I7" s="7" t="s">
        <v>74</v>
      </c>
      <c r="J7" s="50"/>
      <c r="K7" s="7"/>
      <c r="L7" s="11"/>
      <c r="M7" s="7"/>
    </row>
    <row r="8" spans="1:14">
      <c r="A8" s="6">
        <v>46059</v>
      </c>
      <c r="B8" s="7" t="s">
        <v>187</v>
      </c>
      <c r="C8" s="7" t="s">
        <v>202</v>
      </c>
      <c r="D8" s="7" t="s">
        <v>203</v>
      </c>
      <c r="E8" s="7">
        <v>60</v>
      </c>
      <c r="F8" s="7">
        <v>1</v>
      </c>
      <c r="G8" s="7"/>
      <c r="H8" s="7" t="s">
        <v>190</v>
      </c>
      <c r="I8" s="7" t="s">
        <v>74</v>
      </c>
      <c r="J8" s="41"/>
      <c r="K8" s="7"/>
      <c r="L8" s="13"/>
      <c r="M8" s="7"/>
    </row>
    <row r="9" spans="1:14">
      <c r="A9" s="6">
        <v>46059</v>
      </c>
      <c r="B9" s="7" t="s">
        <v>187</v>
      </c>
      <c r="C9" s="14" t="s">
        <v>204</v>
      </c>
      <c r="D9" s="14" t="s">
        <v>205</v>
      </c>
      <c r="E9" s="7">
        <v>10</v>
      </c>
      <c r="F9" s="7">
        <v>1</v>
      </c>
      <c r="G9" s="7"/>
      <c r="H9" s="7" t="s">
        <v>190</v>
      </c>
      <c r="I9" s="7" t="s">
        <v>43</v>
      </c>
      <c r="J9" s="21" t="s">
        <v>176</v>
      </c>
      <c r="K9" s="7"/>
      <c r="L9" s="7"/>
      <c r="M9" s="7"/>
    </row>
    <row r="10" spans="1:14">
      <c r="A10" s="6">
        <v>46059</v>
      </c>
      <c r="B10" s="7" t="s">
        <v>187</v>
      </c>
      <c r="C10" s="14" t="s">
        <v>206</v>
      </c>
      <c r="D10" s="14" t="s">
        <v>207</v>
      </c>
      <c r="E10" s="7">
        <v>10</v>
      </c>
      <c r="F10" s="7">
        <v>1</v>
      </c>
      <c r="G10" s="7"/>
      <c r="H10" s="7" t="s">
        <v>190</v>
      </c>
      <c r="I10" s="7" t="s">
        <v>43</v>
      </c>
      <c r="J10" s="23"/>
      <c r="K10" s="7"/>
      <c r="L10" s="7"/>
      <c r="M10" s="7"/>
    </row>
    <row r="11" spans="1:14">
      <c r="A11" s="6">
        <v>46059</v>
      </c>
      <c r="B11" s="7" t="s">
        <v>187</v>
      </c>
      <c r="C11" s="7" t="s">
        <v>208</v>
      </c>
      <c r="D11" s="7" t="s">
        <v>209</v>
      </c>
      <c r="E11" s="7">
        <v>7</v>
      </c>
      <c r="F11" s="7">
        <v>1</v>
      </c>
      <c r="G11" s="7"/>
      <c r="H11" s="7" t="s">
        <v>190</v>
      </c>
      <c r="I11" s="7" t="s">
        <v>210</v>
      </c>
      <c r="J11" s="51" t="s">
        <v>162</v>
      </c>
      <c r="K11" s="7"/>
      <c r="L11" s="8" t="s">
        <v>211</v>
      </c>
      <c r="M11" s="7"/>
    </row>
    <row r="12" spans="1:14">
      <c r="A12" s="6">
        <v>46059</v>
      </c>
      <c r="B12" s="7" t="s">
        <v>187</v>
      </c>
      <c r="C12" s="7" t="s">
        <v>212</v>
      </c>
      <c r="D12" s="7" t="s">
        <v>213</v>
      </c>
      <c r="E12" s="7">
        <v>1</v>
      </c>
      <c r="F12" s="7">
        <v>1</v>
      </c>
      <c r="G12" s="7"/>
      <c r="H12" s="7" t="s">
        <v>190</v>
      </c>
      <c r="I12" s="7" t="s">
        <v>210</v>
      </c>
      <c r="J12" s="52"/>
      <c r="K12" s="7"/>
      <c r="L12" s="12"/>
      <c r="M12" s="7"/>
    </row>
    <row r="13" spans="1:14">
      <c r="A13" s="6">
        <v>46059</v>
      </c>
      <c r="B13" s="7" t="s">
        <v>187</v>
      </c>
      <c r="C13" s="14" t="s">
        <v>214</v>
      </c>
      <c r="D13" s="14" t="s">
        <v>16</v>
      </c>
      <c r="E13" s="7">
        <v>9</v>
      </c>
      <c r="F13" s="7">
        <v>1</v>
      </c>
      <c r="G13" s="7"/>
      <c r="H13" s="7" t="s">
        <v>190</v>
      </c>
      <c r="I13" s="7" t="s">
        <v>15</v>
      </c>
      <c r="J13" s="53" t="s">
        <v>176</v>
      </c>
      <c r="K13" s="7"/>
      <c r="L13" s="7"/>
      <c r="M13" s="7"/>
    </row>
    <row r="14" spans="1:14">
      <c r="A14" s="6">
        <v>46059</v>
      </c>
      <c r="B14" s="7" t="s">
        <v>187</v>
      </c>
      <c r="C14" s="14" t="s">
        <v>11</v>
      </c>
      <c r="D14" s="14" t="s">
        <v>215</v>
      </c>
      <c r="E14" s="7">
        <v>9</v>
      </c>
      <c r="F14" s="7">
        <v>1</v>
      </c>
      <c r="G14" s="7"/>
      <c r="H14" s="7" t="s">
        <v>190</v>
      </c>
      <c r="I14" s="7" t="s">
        <v>12</v>
      </c>
      <c r="J14" s="54" t="s">
        <v>152</v>
      </c>
      <c r="K14" s="7"/>
      <c r="L14" s="7"/>
      <c r="M14" s="7"/>
    </row>
    <row r="15" spans="1:14">
      <c r="A15" s="6">
        <v>46059</v>
      </c>
      <c r="B15" s="7" t="s">
        <v>187</v>
      </c>
      <c r="C15" s="14" t="s">
        <v>216</v>
      </c>
      <c r="D15" s="14" t="s">
        <v>217</v>
      </c>
      <c r="E15" s="7">
        <v>54</v>
      </c>
      <c r="F15" s="7">
        <v>1</v>
      </c>
      <c r="G15" s="7"/>
      <c r="H15" s="7" t="s">
        <v>190</v>
      </c>
      <c r="I15" s="7" t="s">
        <v>218</v>
      </c>
      <c r="J15" s="21" t="s">
        <v>176</v>
      </c>
      <c r="K15" s="7"/>
      <c r="L15" s="16" t="s">
        <v>219</v>
      </c>
      <c r="M15" s="7"/>
    </row>
    <row r="16" spans="1:14">
      <c r="A16" s="6">
        <v>46059</v>
      </c>
      <c r="B16" s="7" t="s">
        <v>187</v>
      </c>
      <c r="C16" s="14" t="s">
        <v>220</v>
      </c>
      <c r="D16" s="14" t="s">
        <v>221</v>
      </c>
      <c r="E16" s="7">
        <v>54</v>
      </c>
      <c r="F16" s="7">
        <v>1</v>
      </c>
      <c r="G16" s="7"/>
      <c r="H16" s="7" t="s">
        <v>190</v>
      </c>
      <c r="I16" s="7" t="s">
        <v>218</v>
      </c>
      <c r="J16" s="22"/>
      <c r="K16" s="7"/>
      <c r="L16" s="11"/>
      <c r="M16" s="7"/>
    </row>
    <row r="17" spans="1:13">
      <c r="A17" s="6">
        <v>46059</v>
      </c>
      <c r="B17" s="7" t="s">
        <v>187</v>
      </c>
      <c r="C17" s="14" t="s">
        <v>222</v>
      </c>
      <c r="D17" s="14" t="s">
        <v>223</v>
      </c>
      <c r="E17" s="7">
        <v>756</v>
      </c>
      <c r="F17" s="7">
        <v>1</v>
      </c>
      <c r="G17" s="7"/>
      <c r="H17" s="7" t="s">
        <v>190</v>
      </c>
      <c r="I17" s="7" t="s">
        <v>218</v>
      </c>
      <c r="J17" s="22"/>
      <c r="K17" s="7"/>
      <c r="L17" s="11"/>
      <c r="M17" s="7"/>
    </row>
    <row r="18" spans="1:13">
      <c r="A18" s="6">
        <v>46059</v>
      </c>
      <c r="B18" s="7" t="s">
        <v>187</v>
      </c>
      <c r="C18" s="14" t="s">
        <v>224</v>
      </c>
      <c r="D18" s="14" t="s">
        <v>225</v>
      </c>
      <c r="E18" s="7">
        <v>54</v>
      </c>
      <c r="F18" s="7">
        <v>1</v>
      </c>
      <c r="G18" s="7"/>
      <c r="H18" s="7" t="s">
        <v>190</v>
      </c>
      <c r="I18" s="7" t="s">
        <v>218</v>
      </c>
      <c r="J18" s="23"/>
      <c r="K18" s="7"/>
      <c r="L18" s="55"/>
      <c r="M18" s="7"/>
    </row>
    <row r="19" spans="1:13">
      <c r="A19" s="6">
        <v>46059</v>
      </c>
      <c r="B19" s="7" t="s">
        <v>187</v>
      </c>
      <c r="C19" s="7" t="s">
        <v>226</v>
      </c>
      <c r="D19" s="7" t="s">
        <v>226</v>
      </c>
      <c r="E19" s="7">
        <v>9</v>
      </c>
      <c r="F19" s="7">
        <v>1</v>
      </c>
      <c r="G19" s="7"/>
      <c r="H19" s="7" t="s">
        <v>190</v>
      </c>
      <c r="I19" s="7" t="s">
        <v>227</v>
      </c>
      <c r="J19" s="7"/>
      <c r="K19" s="7"/>
      <c r="L19" s="7" t="s">
        <v>228</v>
      </c>
      <c r="M19" s="7"/>
    </row>
    <row r="20" spans="1:13">
      <c r="A20" s="6">
        <v>46059</v>
      </c>
      <c r="B20" s="7" t="s">
        <v>187</v>
      </c>
      <c r="C20" s="7" t="s">
        <v>229</v>
      </c>
      <c r="D20" s="7" t="s">
        <v>230</v>
      </c>
      <c r="E20" s="7">
        <v>9</v>
      </c>
      <c r="F20" s="7">
        <v>1</v>
      </c>
      <c r="G20" s="7"/>
      <c r="H20" s="7" t="s">
        <v>190</v>
      </c>
      <c r="I20" s="7" t="s">
        <v>18</v>
      </c>
      <c r="J20" s="15" t="s">
        <v>162</v>
      </c>
      <c r="K20" s="7"/>
      <c r="L20" s="7" t="s">
        <v>231</v>
      </c>
      <c r="M20" s="7"/>
    </row>
    <row r="21" spans="1:13">
      <c r="A21" s="6">
        <v>46059</v>
      </c>
      <c r="B21" s="7" t="s">
        <v>187</v>
      </c>
      <c r="C21" s="7" t="s">
        <v>232</v>
      </c>
      <c r="D21" s="7" t="s">
        <v>233</v>
      </c>
      <c r="E21" s="7">
        <v>9</v>
      </c>
      <c r="F21" s="7">
        <v>1</v>
      </c>
      <c r="G21" s="7"/>
      <c r="H21" s="7" t="s">
        <v>190</v>
      </c>
      <c r="I21" s="7" t="s">
        <v>234</v>
      </c>
      <c r="J21" s="8"/>
      <c r="K21" s="7"/>
      <c r="L21" s="16" t="s">
        <v>228</v>
      </c>
      <c r="M21" s="7"/>
    </row>
    <row r="22" spans="1:13">
      <c r="A22" s="6">
        <v>46059</v>
      </c>
      <c r="B22" s="7" t="s">
        <v>187</v>
      </c>
      <c r="C22" s="7" t="s">
        <v>235</v>
      </c>
      <c r="D22" s="7" t="s">
        <v>233</v>
      </c>
      <c r="E22" s="7">
        <v>9</v>
      </c>
      <c r="F22" s="7">
        <v>1</v>
      </c>
      <c r="G22" s="7"/>
      <c r="H22" s="7" t="s">
        <v>190</v>
      </c>
      <c r="I22" s="7" t="s">
        <v>234</v>
      </c>
      <c r="J22" s="10"/>
      <c r="K22" s="7"/>
      <c r="L22" s="11"/>
      <c r="M22" s="7"/>
    </row>
    <row r="23" spans="1:13">
      <c r="A23" s="6">
        <v>46059</v>
      </c>
      <c r="B23" s="7" t="s">
        <v>187</v>
      </c>
      <c r="C23" s="7" t="s">
        <v>236</v>
      </c>
      <c r="D23" s="7" t="s">
        <v>233</v>
      </c>
      <c r="E23" s="7">
        <v>9</v>
      </c>
      <c r="F23" s="7">
        <v>1</v>
      </c>
      <c r="G23" s="7"/>
      <c r="H23" s="7" t="s">
        <v>190</v>
      </c>
      <c r="I23" s="7" t="s">
        <v>234</v>
      </c>
      <c r="J23" s="12"/>
      <c r="K23" s="7"/>
      <c r="L23" s="13"/>
      <c r="M23" s="7"/>
    </row>
  </sheetData>
  <mergeCells count="9">
    <mergeCell ref="J2:J8"/>
    <mergeCell ref="J9:J10"/>
    <mergeCell ref="J11:J12"/>
    <mergeCell ref="J15:J18"/>
    <mergeCell ref="J21:J23"/>
    <mergeCell ref="L2:L8"/>
    <mergeCell ref="L11:L12"/>
    <mergeCell ref="L15:L18"/>
    <mergeCell ref="L21:L23"/>
  </mergeCells>
  <dataValidations count="1">
    <dataValidation type="list" allowBlank="1" showInputMessage="1" showErrorMessage="1" sqref="J2:J23">
      <formula1>"已到货,未到货,到货不全"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J13" sqref="J13"/>
    </sheetView>
  </sheetViews>
  <sheetFormatPr defaultColWidth="8.66666666666667" defaultRowHeight="14"/>
  <cols>
    <col min="1" max="1" width="11.4166666666667"/>
    <col min="3" max="3" width="23.3333333333333" customWidth="1"/>
    <col min="4" max="4" width="32" customWidth="1"/>
  </cols>
  <sheetData>
    <row r="1" s="1" customFormat="1" ht="30.65" customHeight="1" spans="1:14">
      <c r="A1" s="2" t="s">
        <v>128</v>
      </c>
      <c r="B1" s="3" t="s">
        <v>129</v>
      </c>
      <c r="C1" s="4" t="s">
        <v>130</v>
      </c>
      <c r="D1" s="2" t="s">
        <v>131</v>
      </c>
      <c r="E1" s="2" t="s">
        <v>4</v>
      </c>
      <c r="F1" s="2" t="s">
        <v>132</v>
      </c>
      <c r="G1" s="3" t="s">
        <v>133</v>
      </c>
      <c r="H1" s="3" t="s">
        <v>134</v>
      </c>
      <c r="I1" s="3" t="s">
        <v>2</v>
      </c>
      <c r="J1" s="3" t="s">
        <v>135</v>
      </c>
      <c r="K1" s="2" t="s">
        <v>136</v>
      </c>
      <c r="L1" s="2" t="s">
        <v>137</v>
      </c>
      <c r="M1" s="3" t="s">
        <v>138</v>
      </c>
      <c r="N1" s="5"/>
    </row>
    <row r="2" spans="1:14">
      <c r="A2" s="6">
        <v>45992</v>
      </c>
      <c r="B2" s="7" t="s">
        <v>237</v>
      </c>
      <c r="C2" s="7" t="s">
        <v>238</v>
      </c>
      <c r="D2" s="7" t="s">
        <v>209</v>
      </c>
      <c r="E2" s="7">
        <v>1</v>
      </c>
      <c r="F2" s="7">
        <v>1</v>
      </c>
      <c r="G2" s="7">
        <f t="shared" ref="G2:G13" si="0">F2*E2</f>
        <v>1</v>
      </c>
      <c r="H2" s="7" t="s">
        <v>142</v>
      </c>
      <c r="I2" s="7" t="s">
        <v>210</v>
      </c>
      <c r="J2" s="40" t="s">
        <v>162</v>
      </c>
      <c r="K2" s="7"/>
      <c r="L2" s="8" t="s">
        <v>231</v>
      </c>
      <c r="M2" s="7"/>
    </row>
    <row r="3" spans="1:14">
      <c r="A3" s="6">
        <v>45992</v>
      </c>
      <c r="B3" s="7" t="s">
        <v>237</v>
      </c>
      <c r="C3" s="7" t="s">
        <v>239</v>
      </c>
      <c r="D3" s="7" t="s">
        <v>213</v>
      </c>
      <c r="E3" s="7">
        <v>1</v>
      </c>
      <c r="F3" s="7">
        <v>1</v>
      </c>
      <c r="G3" s="7">
        <f t="shared" si="0"/>
        <v>1</v>
      </c>
      <c r="H3" s="7" t="s">
        <v>142</v>
      </c>
      <c r="I3" s="7" t="s">
        <v>210</v>
      </c>
      <c r="J3" s="41"/>
      <c r="K3" s="7"/>
      <c r="L3" s="12"/>
      <c r="M3" s="7"/>
    </row>
    <row r="4" spans="1:14">
      <c r="A4" s="6">
        <v>45999</v>
      </c>
      <c r="B4" s="7" t="s">
        <v>237</v>
      </c>
      <c r="C4" s="7" t="s">
        <v>22</v>
      </c>
      <c r="D4" s="7" t="s">
        <v>240</v>
      </c>
      <c r="E4" s="7">
        <v>1</v>
      </c>
      <c r="F4" s="7">
        <v>1</v>
      </c>
      <c r="G4" s="7">
        <f t="shared" si="0"/>
        <v>1</v>
      </c>
      <c r="H4" s="7" t="s">
        <v>142</v>
      </c>
      <c r="I4" s="7" t="s">
        <v>23</v>
      </c>
      <c r="J4" s="7"/>
      <c r="K4" s="7"/>
      <c r="L4" s="7" t="s">
        <v>228</v>
      </c>
      <c r="M4" s="7"/>
    </row>
    <row r="5" spans="1:14">
      <c r="A5" s="6">
        <v>45988</v>
      </c>
      <c r="B5" s="7" t="s">
        <v>237</v>
      </c>
      <c r="C5" s="14" t="s">
        <v>241</v>
      </c>
      <c r="D5" s="14" t="s">
        <v>217</v>
      </c>
      <c r="E5" s="7">
        <v>6</v>
      </c>
      <c r="F5" s="7">
        <v>1</v>
      </c>
      <c r="G5" s="7">
        <f t="shared" si="0"/>
        <v>6</v>
      </c>
      <c r="H5" s="7" t="s">
        <v>142</v>
      </c>
      <c r="I5" s="7" t="s">
        <v>218</v>
      </c>
      <c r="J5" s="14" t="s">
        <v>176</v>
      </c>
      <c r="K5" s="39">
        <v>46028</v>
      </c>
      <c r="L5" s="7"/>
      <c r="M5" s="7"/>
    </row>
    <row r="6" spans="1:14">
      <c r="A6" s="6">
        <v>45988</v>
      </c>
      <c r="B6" s="7" t="s">
        <v>237</v>
      </c>
      <c r="C6" s="14" t="s">
        <v>220</v>
      </c>
      <c r="D6" s="14" t="s">
        <v>221</v>
      </c>
      <c r="E6" s="7">
        <v>6</v>
      </c>
      <c r="F6" s="7">
        <v>1</v>
      </c>
      <c r="G6" s="7">
        <f t="shared" si="0"/>
        <v>6</v>
      </c>
      <c r="H6" s="7" t="s">
        <v>142</v>
      </c>
      <c r="I6" s="7" t="s">
        <v>218</v>
      </c>
      <c r="J6" s="14" t="s">
        <v>176</v>
      </c>
      <c r="K6" s="7"/>
      <c r="L6" s="8" t="s">
        <v>242</v>
      </c>
      <c r="M6" s="7"/>
    </row>
    <row r="7" spans="1:14">
      <c r="A7" s="6">
        <v>45988</v>
      </c>
      <c r="B7" s="7" t="s">
        <v>237</v>
      </c>
      <c r="C7" s="14" t="s">
        <v>243</v>
      </c>
      <c r="D7" s="14" t="s">
        <v>223</v>
      </c>
      <c r="E7" s="7">
        <v>84</v>
      </c>
      <c r="F7" s="7">
        <v>1</v>
      </c>
      <c r="G7" s="7">
        <f t="shared" si="0"/>
        <v>84</v>
      </c>
      <c r="H7" s="7" t="s">
        <v>142</v>
      </c>
      <c r="I7" s="7" t="s">
        <v>218</v>
      </c>
      <c r="J7" s="14" t="s">
        <v>176</v>
      </c>
      <c r="K7" s="7"/>
      <c r="L7" s="10"/>
      <c r="M7" s="7"/>
    </row>
    <row r="8" spans="1:14">
      <c r="A8" s="6">
        <v>45988</v>
      </c>
      <c r="B8" s="7" t="s">
        <v>237</v>
      </c>
      <c r="C8" s="14" t="s">
        <v>224</v>
      </c>
      <c r="D8" s="14" t="s">
        <v>225</v>
      </c>
      <c r="E8" s="7">
        <v>6</v>
      </c>
      <c r="F8" s="7">
        <v>1</v>
      </c>
      <c r="G8" s="7">
        <f t="shared" si="0"/>
        <v>6</v>
      </c>
      <c r="H8" s="7" t="s">
        <v>142</v>
      </c>
      <c r="I8" s="7" t="s">
        <v>218</v>
      </c>
      <c r="J8" s="14" t="s">
        <v>176</v>
      </c>
      <c r="K8" s="7"/>
      <c r="L8" s="12"/>
      <c r="M8" s="7"/>
    </row>
    <row r="9" spans="1:14">
      <c r="A9" s="6">
        <v>45999</v>
      </c>
      <c r="B9" s="7" t="s">
        <v>237</v>
      </c>
      <c r="C9" s="7" t="s">
        <v>244</v>
      </c>
      <c r="D9" s="7" t="s">
        <v>245</v>
      </c>
      <c r="E9" s="7">
        <v>1</v>
      </c>
      <c r="F9" s="7">
        <v>1</v>
      </c>
      <c r="G9" s="7">
        <f t="shared" si="0"/>
        <v>1</v>
      </c>
      <c r="H9" s="7" t="s">
        <v>142</v>
      </c>
      <c r="I9" s="7" t="s">
        <v>18</v>
      </c>
      <c r="J9" s="7"/>
      <c r="K9" s="7"/>
      <c r="L9" s="7" t="s">
        <v>228</v>
      </c>
      <c r="M9" s="7"/>
    </row>
    <row r="10" spans="1:14">
      <c r="A10" s="6">
        <v>45999</v>
      </c>
      <c r="B10" s="7" t="s">
        <v>237</v>
      </c>
      <c r="C10" s="14" t="s">
        <v>246</v>
      </c>
      <c r="D10" s="14" t="s">
        <v>247</v>
      </c>
      <c r="E10" s="7">
        <v>1</v>
      </c>
      <c r="F10" s="7">
        <v>1</v>
      </c>
      <c r="G10" s="7">
        <f t="shared" si="0"/>
        <v>1</v>
      </c>
      <c r="H10" s="7" t="s">
        <v>185</v>
      </c>
      <c r="I10" s="7" t="s">
        <v>248</v>
      </c>
      <c r="J10" s="21" t="s">
        <v>176</v>
      </c>
      <c r="K10" s="7"/>
      <c r="L10" s="7"/>
      <c r="M10" s="7"/>
    </row>
    <row r="11" spans="1:14">
      <c r="A11" s="6">
        <v>45999</v>
      </c>
      <c r="B11" s="7" t="s">
        <v>237</v>
      </c>
      <c r="C11" s="14" t="s">
        <v>235</v>
      </c>
      <c r="D11" s="14" t="s">
        <v>249</v>
      </c>
      <c r="E11" s="7">
        <v>1</v>
      </c>
      <c r="F11" s="7">
        <v>1</v>
      </c>
      <c r="G11" s="7">
        <f t="shared" si="0"/>
        <v>1</v>
      </c>
      <c r="H11" s="7" t="s">
        <v>171</v>
      </c>
      <c r="I11" s="7" t="s">
        <v>250</v>
      </c>
      <c r="J11" s="22"/>
      <c r="K11" s="7"/>
      <c r="L11" s="7"/>
      <c r="M11" s="7"/>
    </row>
    <row r="12" spans="1:14">
      <c r="A12" s="6">
        <v>45999</v>
      </c>
      <c r="B12" s="7" t="s">
        <v>237</v>
      </c>
      <c r="C12" s="14" t="s">
        <v>236</v>
      </c>
      <c r="D12" s="14" t="s">
        <v>251</v>
      </c>
      <c r="E12" s="7">
        <v>1</v>
      </c>
      <c r="F12" s="7">
        <v>1</v>
      </c>
      <c r="G12" s="7">
        <f t="shared" si="0"/>
        <v>1</v>
      </c>
      <c r="H12" s="7" t="s">
        <v>171</v>
      </c>
      <c r="I12" s="7" t="s">
        <v>252</v>
      </c>
      <c r="J12" s="23"/>
      <c r="K12" s="7"/>
      <c r="L12" s="7"/>
      <c r="M12" s="7"/>
    </row>
    <row r="13" spans="1:14">
      <c r="A13" s="6">
        <v>45999</v>
      </c>
      <c r="B13" s="7" t="s">
        <v>237</v>
      </c>
      <c r="C13" s="7" t="s">
        <v>253</v>
      </c>
      <c r="D13" s="7" t="s">
        <v>254</v>
      </c>
      <c r="E13" s="7">
        <v>1</v>
      </c>
      <c r="F13" s="7">
        <v>1</v>
      </c>
      <c r="G13" s="7">
        <f t="shared" si="0"/>
        <v>1</v>
      </c>
      <c r="H13" s="7" t="s">
        <v>185</v>
      </c>
      <c r="I13" s="7" t="s">
        <v>114</v>
      </c>
      <c r="J13" s="7"/>
      <c r="K13" s="7"/>
      <c r="L13" s="7" t="s">
        <v>228</v>
      </c>
      <c r="M13" s="7"/>
    </row>
  </sheetData>
  <mergeCells count="4">
    <mergeCell ref="J2:J3"/>
    <mergeCell ref="J10:J12"/>
    <mergeCell ref="L2:L3"/>
    <mergeCell ref="L6:L8"/>
  </mergeCells>
  <dataValidations count="1">
    <dataValidation type="list" allowBlank="1" showInputMessage="1" showErrorMessage="1" sqref="J2:J13">
      <formula1>"已到货,未到货"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topLeftCell="C9" workbookViewId="0">
      <selection activeCell="C6" sqref="C6"/>
    </sheetView>
  </sheetViews>
  <sheetFormatPr defaultColWidth="8.66666666666667" defaultRowHeight="14"/>
  <cols>
    <col min="1" max="1" width="12.5" customWidth="1"/>
    <col min="3" max="3" width="18.8333333333333" customWidth="1"/>
    <col min="4" max="4" width="35.5833333333333" customWidth="1"/>
    <col min="10" max="10" width="12.0833333333333" customWidth="1"/>
    <col min="11" max="11" width="12" customWidth="1"/>
    <col min="12" max="12" width="20" customWidth="1"/>
    <col min="13" max="13" width="11.1666666666667" customWidth="1"/>
  </cols>
  <sheetData>
    <row r="1" s="1" customFormat="1" ht="30.65" customHeight="1" spans="1:14">
      <c r="A1" s="2" t="s">
        <v>128</v>
      </c>
      <c r="B1" s="3" t="s">
        <v>129</v>
      </c>
      <c r="C1" s="4" t="s">
        <v>130</v>
      </c>
      <c r="D1" s="2" t="s">
        <v>131</v>
      </c>
      <c r="E1" s="2" t="s">
        <v>4</v>
      </c>
      <c r="F1" s="2" t="s">
        <v>132</v>
      </c>
      <c r="G1" s="3" t="s">
        <v>133</v>
      </c>
      <c r="H1" s="3" t="s">
        <v>134</v>
      </c>
      <c r="I1" s="3" t="s">
        <v>2</v>
      </c>
      <c r="J1" s="3" t="s">
        <v>135</v>
      </c>
      <c r="K1" s="2" t="s">
        <v>136</v>
      </c>
      <c r="L1" s="2" t="s">
        <v>137</v>
      </c>
      <c r="M1" s="3" t="s">
        <v>138</v>
      </c>
      <c r="N1" s="5"/>
    </row>
    <row r="2" spans="1:14">
      <c r="A2" s="6">
        <v>45965</v>
      </c>
      <c r="B2" s="7" t="s">
        <v>255</v>
      </c>
      <c r="C2" s="14" t="s">
        <v>256</v>
      </c>
      <c r="D2" s="14" t="s">
        <v>257</v>
      </c>
      <c r="E2" s="7">
        <v>18</v>
      </c>
      <c r="F2" s="7">
        <v>10</v>
      </c>
      <c r="G2" s="7">
        <f>E2*F2</f>
        <v>180</v>
      </c>
      <c r="H2" s="7" t="s">
        <v>185</v>
      </c>
      <c r="I2" s="7" t="s">
        <v>77</v>
      </c>
      <c r="J2" s="14" t="s">
        <v>176</v>
      </c>
      <c r="K2" s="7"/>
      <c r="L2" s="7"/>
      <c r="M2" s="7"/>
    </row>
    <row r="3" spans="1:14">
      <c r="A3" s="6">
        <v>45965</v>
      </c>
      <c r="B3" s="7" t="s">
        <v>255</v>
      </c>
      <c r="C3" s="14" t="s">
        <v>258</v>
      </c>
      <c r="D3" s="14" t="s">
        <v>259</v>
      </c>
      <c r="E3" s="7">
        <v>5</v>
      </c>
      <c r="F3" s="7">
        <v>10</v>
      </c>
      <c r="G3" s="7">
        <f t="shared" ref="G3:G36" si="0">E3*F3</f>
        <v>50</v>
      </c>
      <c r="H3" s="7" t="s">
        <v>260</v>
      </c>
      <c r="I3" s="7" t="s">
        <v>227</v>
      </c>
      <c r="J3" s="14" t="s">
        <v>176</v>
      </c>
      <c r="K3" s="7"/>
      <c r="L3" s="7" t="s">
        <v>261</v>
      </c>
      <c r="M3" s="7"/>
    </row>
    <row r="4" spans="1:14">
      <c r="A4" s="6">
        <v>45965</v>
      </c>
      <c r="B4" s="7" t="s">
        <v>255</v>
      </c>
      <c r="C4" s="14" t="s">
        <v>262</v>
      </c>
      <c r="D4" s="14" t="s">
        <v>259</v>
      </c>
      <c r="E4" s="7">
        <v>5</v>
      </c>
      <c r="F4" s="7">
        <v>10</v>
      </c>
      <c r="G4" s="7">
        <f t="shared" si="0"/>
        <v>50</v>
      </c>
      <c r="H4" s="7" t="s">
        <v>260</v>
      </c>
      <c r="I4" s="7" t="s">
        <v>227</v>
      </c>
      <c r="J4" s="14" t="s">
        <v>176</v>
      </c>
      <c r="K4" s="7"/>
      <c r="L4" s="7" t="s">
        <v>261</v>
      </c>
      <c r="M4" s="7"/>
    </row>
    <row r="5" spans="1:14">
      <c r="A5" s="6">
        <v>45965</v>
      </c>
      <c r="B5" s="7" t="s">
        <v>255</v>
      </c>
      <c r="C5" s="14" t="s">
        <v>263</v>
      </c>
      <c r="D5" s="14" t="s">
        <v>264</v>
      </c>
      <c r="E5" s="7">
        <v>4</v>
      </c>
      <c r="F5" s="7">
        <v>10</v>
      </c>
      <c r="G5" s="7">
        <f t="shared" si="0"/>
        <v>40</v>
      </c>
      <c r="H5" s="7" t="s">
        <v>265</v>
      </c>
      <c r="I5" s="7" t="s">
        <v>227</v>
      </c>
      <c r="J5" s="14" t="s">
        <v>176</v>
      </c>
      <c r="K5" s="7"/>
      <c r="L5" s="7"/>
      <c r="M5" s="7"/>
    </row>
    <row r="6" spans="1:14">
      <c r="A6" s="6">
        <v>45965</v>
      </c>
      <c r="B6" s="7" t="s">
        <v>255</v>
      </c>
      <c r="C6" s="7" t="s">
        <v>266</v>
      </c>
      <c r="D6" s="7" t="s">
        <v>267</v>
      </c>
      <c r="E6" s="7">
        <v>50</v>
      </c>
      <c r="F6" s="7">
        <v>10</v>
      </c>
      <c r="G6" s="7">
        <f t="shared" si="0"/>
        <v>500</v>
      </c>
      <c r="H6" s="7" t="s">
        <v>260</v>
      </c>
      <c r="I6" s="7" t="s">
        <v>268</v>
      </c>
      <c r="J6" s="14" t="s">
        <v>176</v>
      </c>
      <c r="K6" s="7"/>
      <c r="L6" s="7"/>
      <c r="M6" s="7"/>
    </row>
    <row r="7" spans="1:14">
      <c r="A7" s="6">
        <v>45965</v>
      </c>
      <c r="B7" s="7" t="s">
        <v>255</v>
      </c>
      <c r="C7" s="7" t="s">
        <v>266</v>
      </c>
      <c r="D7" s="7" t="s">
        <v>269</v>
      </c>
      <c r="E7" s="7">
        <v>50</v>
      </c>
      <c r="F7" s="7">
        <v>10</v>
      </c>
      <c r="G7" s="7">
        <f t="shared" si="0"/>
        <v>500</v>
      </c>
      <c r="H7" s="7" t="s">
        <v>260</v>
      </c>
      <c r="I7" s="7" t="s">
        <v>268</v>
      </c>
      <c r="J7" s="14" t="s">
        <v>176</v>
      </c>
      <c r="K7" s="7"/>
      <c r="L7" s="7"/>
      <c r="M7" s="7"/>
    </row>
    <row r="8" spans="1:14">
      <c r="A8" s="6">
        <v>45965</v>
      </c>
      <c r="B8" s="7" t="s">
        <v>255</v>
      </c>
      <c r="C8" s="7" t="s">
        <v>266</v>
      </c>
      <c r="D8" s="7" t="s">
        <v>270</v>
      </c>
      <c r="E8" s="7">
        <v>10</v>
      </c>
      <c r="F8" s="7">
        <v>10</v>
      </c>
      <c r="G8" s="7">
        <f t="shared" si="0"/>
        <v>100</v>
      </c>
      <c r="H8" s="7" t="s">
        <v>260</v>
      </c>
      <c r="I8" s="7" t="s">
        <v>268</v>
      </c>
      <c r="J8" s="21" t="s">
        <v>176</v>
      </c>
      <c r="K8" s="24">
        <v>46371</v>
      </c>
      <c r="L8" s="16" t="s">
        <v>271</v>
      </c>
      <c r="M8" s="16" t="s">
        <v>183</v>
      </c>
    </row>
    <row r="9" spans="1:14">
      <c r="A9" s="6">
        <v>45965</v>
      </c>
      <c r="B9" s="7" t="s">
        <v>255</v>
      </c>
      <c r="C9" s="7" t="s">
        <v>266</v>
      </c>
      <c r="D9" s="7" t="s">
        <v>272</v>
      </c>
      <c r="E9" s="7">
        <v>10</v>
      </c>
      <c r="F9" s="7">
        <v>10</v>
      </c>
      <c r="G9" s="7">
        <f t="shared" si="0"/>
        <v>100</v>
      </c>
      <c r="H9" s="7" t="s">
        <v>260</v>
      </c>
      <c r="I9" s="7" t="s">
        <v>268</v>
      </c>
      <c r="J9" s="22"/>
      <c r="K9" s="11"/>
      <c r="L9" s="11"/>
      <c r="M9" s="11"/>
    </row>
    <row r="10" spans="1:14">
      <c r="A10" s="6">
        <v>45965</v>
      </c>
      <c r="B10" s="7" t="s">
        <v>255</v>
      </c>
      <c r="C10" s="14" t="s">
        <v>273</v>
      </c>
      <c r="D10" s="14" t="s">
        <v>274</v>
      </c>
      <c r="E10" s="7">
        <v>1</v>
      </c>
      <c r="F10" s="7">
        <v>10</v>
      </c>
      <c r="G10" s="7">
        <f t="shared" si="0"/>
        <v>10</v>
      </c>
      <c r="H10" s="7" t="s">
        <v>171</v>
      </c>
      <c r="I10" s="7" t="s">
        <v>77</v>
      </c>
      <c r="J10" s="22"/>
      <c r="K10" s="11"/>
      <c r="L10" s="11"/>
      <c r="M10" s="11"/>
    </row>
    <row r="11" spans="1:14">
      <c r="A11" s="6">
        <v>45965</v>
      </c>
      <c r="B11" s="7" t="s">
        <v>255</v>
      </c>
      <c r="C11" s="14" t="s">
        <v>273</v>
      </c>
      <c r="D11" s="14" t="s">
        <v>275</v>
      </c>
      <c r="E11" s="7">
        <v>2</v>
      </c>
      <c r="F11" s="7">
        <v>10</v>
      </c>
      <c r="G11" s="7">
        <f t="shared" si="0"/>
        <v>20</v>
      </c>
      <c r="H11" s="7" t="s">
        <v>171</v>
      </c>
      <c r="I11" s="7" t="s">
        <v>77</v>
      </c>
      <c r="J11" s="22"/>
      <c r="K11" s="11"/>
      <c r="L11" s="11"/>
      <c r="M11" s="11"/>
    </row>
    <row r="12" spans="1:14">
      <c r="A12" s="6">
        <v>45965</v>
      </c>
      <c r="B12" s="7" t="s">
        <v>255</v>
      </c>
      <c r="C12" s="14" t="s">
        <v>273</v>
      </c>
      <c r="D12" s="14" t="s">
        <v>276</v>
      </c>
      <c r="E12" s="7">
        <v>1</v>
      </c>
      <c r="F12" s="7">
        <v>10</v>
      </c>
      <c r="G12" s="7">
        <f t="shared" si="0"/>
        <v>10</v>
      </c>
      <c r="H12" s="7" t="s">
        <v>171</v>
      </c>
      <c r="I12" s="7" t="s">
        <v>77</v>
      </c>
      <c r="J12" s="22"/>
      <c r="K12" s="11"/>
      <c r="L12" s="11"/>
      <c r="M12" s="11"/>
    </row>
    <row r="13" spans="1:14">
      <c r="A13" s="6">
        <v>45965</v>
      </c>
      <c r="B13" s="7" t="s">
        <v>255</v>
      </c>
      <c r="C13" s="14" t="s">
        <v>277</v>
      </c>
      <c r="D13" s="14" t="s">
        <v>278</v>
      </c>
      <c r="E13" s="7">
        <v>6</v>
      </c>
      <c r="F13" s="7">
        <v>10</v>
      </c>
      <c r="G13" s="7">
        <f t="shared" si="0"/>
        <v>60</v>
      </c>
      <c r="H13" s="7" t="s">
        <v>171</v>
      </c>
      <c r="I13" s="7" t="s">
        <v>77</v>
      </c>
      <c r="J13" s="22"/>
      <c r="K13" s="11"/>
      <c r="L13" s="11"/>
      <c r="M13" s="11"/>
    </row>
    <row r="14" spans="1:14">
      <c r="A14" s="6">
        <v>45965</v>
      </c>
      <c r="B14" s="7" t="s">
        <v>255</v>
      </c>
      <c r="C14" s="14" t="s">
        <v>277</v>
      </c>
      <c r="D14" s="14" t="s">
        <v>279</v>
      </c>
      <c r="E14" s="7">
        <v>8</v>
      </c>
      <c r="F14" s="7">
        <v>10</v>
      </c>
      <c r="G14" s="7">
        <f t="shared" si="0"/>
        <v>80</v>
      </c>
      <c r="H14" s="7" t="s">
        <v>171</v>
      </c>
      <c r="I14" s="7" t="s">
        <v>280</v>
      </c>
      <c r="J14" s="22"/>
      <c r="K14" s="11"/>
      <c r="L14" s="11"/>
      <c r="M14" s="11"/>
    </row>
    <row r="15" spans="1:14">
      <c r="A15" s="6">
        <v>45965</v>
      </c>
      <c r="B15" s="7" t="s">
        <v>255</v>
      </c>
      <c r="C15" s="14" t="s">
        <v>277</v>
      </c>
      <c r="D15" s="14" t="s">
        <v>281</v>
      </c>
      <c r="E15" s="7">
        <v>26</v>
      </c>
      <c r="F15" s="7">
        <v>10</v>
      </c>
      <c r="G15" s="7">
        <f t="shared" si="0"/>
        <v>260</v>
      </c>
      <c r="H15" s="7" t="s">
        <v>171</v>
      </c>
      <c r="I15" s="7" t="s">
        <v>280</v>
      </c>
      <c r="J15" s="22"/>
      <c r="K15" s="11"/>
      <c r="L15" s="11"/>
      <c r="M15" s="11"/>
    </row>
    <row r="16" spans="1:14">
      <c r="A16" s="6">
        <v>45965</v>
      </c>
      <c r="B16" s="7" t="s">
        <v>255</v>
      </c>
      <c r="C16" s="14" t="s">
        <v>277</v>
      </c>
      <c r="D16" s="14" t="s">
        <v>282</v>
      </c>
      <c r="E16" s="7">
        <v>13</v>
      </c>
      <c r="F16" s="7">
        <v>10</v>
      </c>
      <c r="G16" s="7">
        <f t="shared" si="0"/>
        <v>130</v>
      </c>
      <c r="H16" s="7" t="s">
        <v>171</v>
      </c>
      <c r="I16" s="7" t="s">
        <v>280</v>
      </c>
      <c r="J16" s="22"/>
      <c r="K16" s="11"/>
      <c r="L16" s="11"/>
      <c r="M16" s="11"/>
    </row>
    <row r="17" spans="1:13">
      <c r="A17" s="6">
        <v>45965</v>
      </c>
      <c r="B17" s="7" t="s">
        <v>255</v>
      </c>
      <c r="C17" s="14" t="s">
        <v>277</v>
      </c>
      <c r="D17" s="14" t="s">
        <v>283</v>
      </c>
      <c r="E17" s="7">
        <v>1</v>
      </c>
      <c r="F17" s="7">
        <v>10</v>
      </c>
      <c r="G17" s="7">
        <f t="shared" si="0"/>
        <v>10</v>
      </c>
      <c r="H17" s="7" t="s">
        <v>171</v>
      </c>
      <c r="I17" s="7" t="s">
        <v>280</v>
      </c>
      <c r="J17" s="22"/>
      <c r="K17" s="11"/>
      <c r="L17" s="11"/>
      <c r="M17" s="11"/>
    </row>
    <row r="18" spans="1:13">
      <c r="A18" s="6">
        <v>45965</v>
      </c>
      <c r="B18" s="7" t="s">
        <v>255</v>
      </c>
      <c r="C18" s="14" t="s">
        <v>284</v>
      </c>
      <c r="D18" s="14" t="s">
        <v>285</v>
      </c>
      <c r="E18" s="7">
        <v>4</v>
      </c>
      <c r="F18" s="7">
        <v>10</v>
      </c>
      <c r="G18" s="7">
        <f t="shared" si="0"/>
        <v>40</v>
      </c>
      <c r="H18" s="7" t="s">
        <v>171</v>
      </c>
      <c r="I18" s="7" t="s">
        <v>286</v>
      </c>
      <c r="J18" s="22"/>
      <c r="K18" s="11"/>
      <c r="L18" s="11"/>
      <c r="M18" s="11"/>
    </row>
    <row r="19" spans="1:13">
      <c r="A19" s="6">
        <v>45965</v>
      </c>
      <c r="B19" s="7" t="s">
        <v>255</v>
      </c>
      <c r="C19" s="14" t="s">
        <v>284</v>
      </c>
      <c r="D19" s="14" t="s">
        <v>287</v>
      </c>
      <c r="E19" s="7">
        <v>1</v>
      </c>
      <c r="F19" s="7">
        <v>10</v>
      </c>
      <c r="G19" s="7">
        <f t="shared" si="0"/>
        <v>10</v>
      </c>
      <c r="H19" s="7" t="s">
        <v>171</v>
      </c>
      <c r="I19" s="7" t="s">
        <v>286</v>
      </c>
      <c r="J19" s="22"/>
      <c r="K19" s="11"/>
      <c r="L19" s="11"/>
      <c r="M19" s="11"/>
    </row>
    <row r="20" spans="1:13">
      <c r="A20" s="6">
        <v>45965</v>
      </c>
      <c r="B20" s="7" t="s">
        <v>255</v>
      </c>
      <c r="C20" s="14" t="s">
        <v>288</v>
      </c>
      <c r="D20" s="14" t="s">
        <v>289</v>
      </c>
      <c r="E20" s="7">
        <v>2</v>
      </c>
      <c r="F20" s="7">
        <v>10</v>
      </c>
      <c r="G20" s="7">
        <f t="shared" si="0"/>
        <v>20</v>
      </c>
      <c r="H20" s="7" t="s">
        <v>171</v>
      </c>
      <c r="I20" s="7" t="s">
        <v>280</v>
      </c>
      <c r="J20" s="22"/>
      <c r="K20" s="11"/>
      <c r="L20" s="11"/>
      <c r="M20" s="11"/>
    </row>
    <row r="21" spans="1:13">
      <c r="A21" s="6">
        <v>45965</v>
      </c>
      <c r="B21" s="7" t="s">
        <v>255</v>
      </c>
      <c r="C21" s="14" t="s">
        <v>290</v>
      </c>
      <c r="D21" s="14" t="s">
        <v>289</v>
      </c>
      <c r="E21" s="7">
        <v>1</v>
      </c>
      <c r="F21" s="7">
        <v>10</v>
      </c>
      <c r="G21" s="7">
        <f t="shared" si="0"/>
        <v>10</v>
      </c>
      <c r="H21" s="7" t="s">
        <v>171</v>
      </c>
      <c r="I21" s="7" t="s">
        <v>280</v>
      </c>
      <c r="J21" s="22"/>
      <c r="K21" s="11"/>
      <c r="L21" s="11"/>
      <c r="M21" s="11"/>
    </row>
    <row r="22" spans="1:13">
      <c r="A22" s="6">
        <v>45965</v>
      </c>
      <c r="B22" s="7" t="s">
        <v>255</v>
      </c>
      <c r="C22" s="14" t="s">
        <v>291</v>
      </c>
      <c r="D22" s="14" t="s">
        <v>292</v>
      </c>
      <c r="E22" s="7">
        <v>24</v>
      </c>
      <c r="F22" s="7">
        <v>10</v>
      </c>
      <c r="G22" s="7">
        <f t="shared" si="0"/>
        <v>240</v>
      </c>
      <c r="H22" s="7" t="s">
        <v>185</v>
      </c>
      <c r="I22" s="7" t="s">
        <v>293</v>
      </c>
      <c r="J22" s="22"/>
      <c r="K22" s="11"/>
      <c r="L22" s="11"/>
      <c r="M22" s="11"/>
    </row>
    <row r="23" spans="1:13">
      <c r="A23" s="6">
        <v>45965</v>
      </c>
      <c r="B23" s="7" t="s">
        <v>255</v>
      </c>
      <c r="C23" s="14" t="s">
        <v>294</v>
      </c>
      <c r="D23" s="14" t="s">
        <v>295</v>
      </c>
      <c r="E23" s="7">
        <v>24</v>
      </c>
      <c r="F23" s="7">
        <v>10</v>
      </c>
      <c r="G23" s="7">
        <f t="shared" si="0"/>
        <v>240</v>
      </c>
      <c r="H23" s="7" t="s">
        <v>185</v>
      </c>
      <c r="I23" s="7" t="s">
        <v>296</v>
      </c>
      <c r="J23" s="22"/>
      <c r="K23" s="11"/>
      <c r="L23" s="11"/>
      <c r="M23" s="11"/>
    </row>
    <row r="24" spans="1:13">
      <c r="A24" s="6">
        <v>45965</v>
      </c>
      <c r="B24" s="7" t="s">
        <v>255</v>
      </c>
      <c r="C24" s="14" t="s">
        <v>297</v>
      </c>
      <c r="D24" s="14" t="s">
        <v>298</v>
      </c>
      <c r="E24" s="7">
        <v>1</v>
      </c>
      <c r="F24" s="7">
        <v>10</v>
      </c>
      <c r="G24" s="7">
        <f t="shared" si="0"/>
        <v>10</v>
      </c>
      <c r="H24" s="7" t="s">
        <v>171</v>
      </c>
      <c r="I24" s="7" t="s">
        <v>299</v>
      </c>
      <c r="J24" s="23"/>
      <c r="K24" s="13"/>
      <c r="L24" s="13"/>
      <c r="M24" s="13"/>
    </row>
    <row r="25" spans="1:13">
      <c r="A25" s="6">
        <v>45965</v>
      </c>
      <c r="B25" s="7" t="s">
        <v>255</v>
      </c>
      <c r="C25" s="14" t="s">
        <v>300</v>
      </c>
      <c r="D25" s="14" t="s">
        <v>301</v>
      </c>
      <c r="E25" s="7">
        <v>6</v>
      </c>
      <c r="F25" s="7">
        <v>10</v>
      </c>
      <c r="G25" s="7">
        <f t="shared" si="0"/>
        <v>60</v>
      </c>
      <c r="H25" s="7" t="s">
        <v>185</v>
      </c>
      <c r="I25" s="7" t="s">
        <v>302</v>
      </c>
      <c r="J25" s="21" t="s">
        <v>176</v>
      </c>
      <c r="K25" s="24">
        <v>46371</v>
      </c>
      <c r="L25" s="16" t="s">
        <v>303</v>
      </c>
      <c r="M25" s="16" t="s">
        <v>183</v>
      </c>
    </row>
    <row r="26" spans="1:13">
      <c r="A26" s="6">
        <v>45965</v>
      </c>
      <c r="B26" s="7" t="s">
        <v>255</v>
      </c>
      <c r="C26" s="14" t="s">
        <v>304</v>
      </c>
      <c r="D26" s="14" t="s">
        <v>301</v>
      </c>
      <c r="E26" s="7">
        <v>6</v>
      </c>
      <c r="F26" s="7">
        <v>10</v>
      </c>
      <c r="G26" s="7">
        <f t="shared" si="0"/>
        <v>60</v>
      </c>
      <c r="H26" s="7" t="s">
        <v>185</v>
      </c>
      <c r="I26" s="7" t="s">
        <v>302</v>
      </c>
      <c r="J26" s="22"/>
      <c r="K26" s="11"/>
      <c r="L26" s="11"/>
      <c r="M26" s="11"/>
    </row>
    <row r="27" spans="1:13">
      <c r="A27" s="6">
        <v>45965</v>
      </c>
      <c r="B27" s="7" t="s">
        <v>255</v>
      </c>
      <c r="C27" s="14" t="s">
        <v>305</v>
      </c>
      <c r="D27" s="14" t="s">
        <v>306</v>
      </c>
      <c r="E27" s="7">
        <v>6</v>
      </c>
      <c r="F27" s="7">
        <v>10</v>
      </c>
      <c r="G27" s="7">
        <f t="shared" si="0"/>
        <v>60</v>
      </c>
      <c r="H27" s="7" t="s">
        <v>185</v>
      </c>
      <c r="I27" s="7" t="s">
        <v>302</v>
      </c>
      <c r="J27" s="22"/>
      <c r="K27" s="11"/>
      <c r="L27" s="11"/>
      <c r="M27" s="11"/>
    </row>
    <row r="28" spans="1:13">
      <c r="A28" s="6">
        <v>45965</v>
      </c>
      <c r="B28" s="7" t="s">
        <v>255</v>
      </c>
      <c r="C28" s="14" t="s">
        <v>307</v>
      </c>
      <c r="D28" s="14" t="s">
        <v>306</v>
      </c>
      <c r="E28" s="7">
        <v>6</v>
      </c>
      <c r="F28" s="7">
        <v>10</v>
      </c>
      <c r="G28" s="7">
        <f t="shared" si="0"/>
        <v>60</v>
      </c>
      <c r="H28" s="7" t="s">
        <v>185</v>
      </c>
      <c r="I28" s="7" t="s">
        <v>302</v>
      </c>
      <c r="J28" s="23"/>
      <c r="K28" s="13"/>
      <c r="L28" s="13"/>
      <c r="M28" s="13"/>
    </row>
    <row r="29" spans="1:13">
      <c r="A29" s="6">
        <v>45968</v>
      </c>
      <c r="B29" s="7" t="s">
        <v>255</v>
      </c>
      <c r="C29" s="14" t="s">
        <v>308</v>
      </c>
      <c r="D29" s="14" t="s">
        <v>309</v>
      </c>
      <c r="E29" s="7">
        <v>5</v>
      </c>
      <c r="F29" s="7">
        <v>10</v>
      </c>
      <c r="G29" s="7">
        <f t="shared" si="0"/>
        <v>50</v>
      </c>
      <c r="H29" s="7" t="s">
        <v>185</v>
      </c>
      <c r="I29" s="7" t="s">
        <v>310</v>
      </c>
      <c r="J29" s="14" t="s">
        <v>176</v>
      </c>
      <c r="K29" s="7"/>
      <c r="L29" s="7"/>
      <c r="M29" s="7"/>
    </row>
    <row r="30" spans="1:13">
      <c r="A30" s="6">
        <v>46028</v>
      </c>
      <c r="B30" s="7" t="s">
        <v>255</v>
      </c>
      <c r="C30" s="14" t="s">
        <v>311</v>
      </c>
      <c r="D30" s="14" t="s">
        <v>312</v>
      </c>
      <c r="E30" s="7">
        <v>1</v>
      </c>
      <c r="F30" s="7">
        <v>9</v>
      </c>
      <c r="G30" s="7">
        <f t="shared" si="0"/>
        <v>9</v>
      </c>
      <c r="H30" s="7" t="s">
        <v>171</v>
      </c>
      <c r="I30" s="7" t="s">
        <v>313</v>
      </c>
      <c r="J30" s="14" t="s">
        <v>176</v>
      </c>
      <c r="K30" s="7"/>
      <c r="L30" s="7"/>
      <c r="M30" s="7"/>
    </row>
    <row r="31" spans="1:13">
      <c r="A31" s="6">
        <v>46028</v>
      </c>
      <c r="B31" s="7" t="s">
        <v>255</v>
      </c>
      <c r="C31" s="14" t="s">
        <v>277</v>
      </c>
      <c r="D31" s="14" t="s">
        <v>283</v>
      </c>
      <c r="E31" s="7">
        <v>4</v>
      </c>
      <c r="F31" s="7">
        <v>9</v>
      </c>
      <c r="G31" s="7">
        <f t="shared" si="0"/>
        <v>36</v>
      </c>
      <c r="H31" s="7" t="s">
        <v>171</v>
      </c>
      <c r="I31" s="7" t="s">
        <v>280</v>
      </c>
      <c r="J31" s="14" t="s">
        <v>176</v>
      </c>
      <c r="K31" s="7"/>
      <c r="L31" s="7"/>
      <c r="M31" s="7"/>
    </row>
    <row r="32" spans="1:13">
      <c r="A32" s="6">
        <v>46032</v>
      </c>
      <c r="B32" s="7" t="s">
        <v>255</v>
      </c>
      <c r="C32" s="14" t="s">
        <v>277</v>
      </c>
      <c r="D32" s="14" t="s">
        <v>282</v>
      </c>
      <c r="E32" s="7">
        <v>6</v>
      </c>
      <c r="F32" s="7">
        <v>9</v>
      </c>
      <c r="G32" s="7">
        <f t="shared" si="0"/>
        <v>54</v>
      </c>
      <c r="H32" s="7" t="s">
        <v>171</v>
      </c>
      <c r="I32" s="7" t="s">
        <v>313</v>
      </c>
      <c r="J32" s="14" t="s">
        <v>176</v>
      </c>
      <c r="K32" s="7"/>
      <c r="L32" s="7"/>
      <c r="M32" s="7"/>
    </row>
    <row r="33" spans="1:13">
      <c r="A33" s="6">
        <v>46032</v>
      </c>
      <c r="B33" s="7" t="s">
        <v>255</v>
      </c>
      <c r="C33" s="14" t="s">
        <v>314</v>
      </c>
      <c r="D33" s="14" t="s">
        <v>315</v>
      </c>
      <c r="E33" s="7">
        <v>2</v>
      </c>
      <c r="F33" s="7">
        <v>9</v>
      </c>
      <c r="G33" s="7">
        <f t="shared" si="0"/>
        <v>18</v>
      </c>
      <c r="H33" s="7" t="s">
        <v>171</v>
      </c>
      <c r="I33" s="7" t="s">
        <v>313</v>
      </c>
      <c r="J33" s="14" t="s">
        <v>176</v>
      </c>
      <c r="K33" s="7"/>
      <c r="L33" s="7"/>
      <c r="M33" s="7"/>
    </row>
    <row r="34" spans="1:13">
      <c r="A34" s="6">
        <v>46032</v>
      </c>
      <c r="B34" s="7" t="s">
        <v>255</v>
      </c>
      <c r="C34" s="14" t="s">
        <v>316</v>
      </c>
      <c r="D34" s="14" t="s">
        <v>317</v>
      </c>
      <c r="E34" s="7">
        <v>1</v>
      </c>
      <c r="F34" s="7">
        <v>9</v>
      </c>
      <c r="G34" s="7">
        <f t="shared" si="0"/>
        <v>9</v>
      </c>
      <c r="H34" s="7" t="s">
        <v>185</v>
      </c>
      <c r="I34" s="7" t="s">
        <v>77</v>
      </c>
      <c r="J34" s="14" t="s">
        <v>176</v>
      </c>
      <c r="K34" s="7"/>
      <c r="L34" s="7"/>
      <c r="M34" s="7"/>
    </row>
    <row r="35" spans="1:13">
      <c r="A35" s="6">
        <v>46032</v>
      </c>
      <c r="B35" s="7" t="s">
        <v>255</v>
      </c>
      <c r="C35" s="14" t="s">
        <v>284</v>
      </c>
      <c r="D35" s="14" t="s">
        <v>285</v>
      </c>
      <c r="E35" s="7">
        <v>1</v>
      </c>
      <c r="F35" s="7">
        <v>9</v>
      </c>
      <c r="G35" s="7">
        <f t="shared" si="0"/>
        <v>9</v>
      </c>
      <c r="H35" s="7" t="s">
        <v>171</v>
      </c>
      <c r="I35" s="7" t="s">
        <v>286</v>
      </c>
      <c r="J35" s="14" t="s">
        <v>176</v>
      </c>
      <c r="K35" s="7"/>
      <c r="L35" s="7"/>
      <c r="M35" s="7"/>
    </row>
    <row r="36" spans="1:13">
      <c r="A36" s="6">
        <v>46086</v>
      </c>
      <c r="B36" s="7" t="s">
        <v>255</v>
      </c>
      <c r="C36" s="14" t="s">
        <v>318</v>
      </c>
      <c r="D36" s="14" t="s">
        <v>319</v>
      </c>
      <c r="E36" s="7">
        <v>6</v>
      </c>
      <c r="F36" s="7">
        <v>10</v>
      </c>
      <c r="G36" s="7">
        <f t="shared" si="0"/>
        <v>60</v>
      </c>
      <c r="H36" s="7" t="s">
        <v>171</v>
      </c>
      <c r="I36" s="7" t="s">
        <v>77</v>
      </c>
      <c r="J36" s="14" t="s">
        <v>176</v>
      </c>
      <c r="K36" s="7"/>
      <c r="L36" s="7"/>
      <c r="M36" s="7"/>
    </row>
  </sheetData>
  <mergeCells count="8">
    <mergeCell ref="J8:J24"/>
    <mergeCell ref="J25:J28"/>
    <mergeCell ref="K8:K24"/>
    <mergeCell ref="K25:K28"/>
    <mergeCell ref="L8:L24"/>
    <mergeCell ref="L25:L28"/>
    <mergeCell ref="M8:M24"/>
    <mergeCell ref="M25:M28"/>
  </mergeCells>
  <dataValidations count="1">
    <dataValidation type="list" allowBlank="1" showInputMessage="1" showErrorMessage="1" sqref="J2:J36">
      <formula1>"已到货,未到货"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topLeftCell="B24" workbookViewId="0">
      <selection activeCell="C28" sqref="C28:D28"/>
    </sheetView>
  </sheetViews>
  <sheetFormatPr defaultColWidth="8.66666666666667" defaultRowHeight="14"/>
  <cols>
    <col min="1" max="1" width="14.75" customWidth="1"/>
    <col min="3" max="3" width="21.1666666666667" customWidth="1"/>
    <col min="4" max="4" width="23.4166666666667" customWidth="1"/>
  </cols>
  <sheetData>
    <row r="1" s="1" customFormat="1" ht="30.65" customHeight="1" spans="1:14">
      <c r="A1" s="2" t="s">
        <v>128</v>
      </c>
      <c r="B1" s="3" t="s">
        <v>129</v>
      </c>
      <c r="C1" s="4" t="s">
        <v>130</v>
      </c>
      <c r="D1" s="2" t="s">
        <v>131</v>
      </c>
      <c r="E1" s="2" t="s">
        <v>4</v>
      </c>
      <c r="F1" s="2" t="s">
        <v>132</v>
      </c>
      <c r="G1" s="3" t="s">
        <v>133</v>
      </c>
      <c r="H1" s="3" t="s">
        <v>134</v>
      </c>
      <c r="I1" s="3" t="s">
        <v>2</v>
      </c>
      <c r="J1" s="3" t="s">
        <v>135</v>
      </c>
      <c r="K1" s="2" t="s">
        <v>136</v>
      </c>
      <c r="L1" s="2" t="s">
        <v>137</v>
      </c>
      <c r="M1" s="3" t="s">
        <v>138</v>
      </c>
      <c r="N1" s="5"/>
    </row>
    <row r="2" spans="1:14">
      <c r="A2" s="6">
        <v>45965</v>
      </c>
      <c r="B2" s="7" t="s">
        <v>320</v>
      </c>
      <c r="C2" s="14" t="s">
        <v>321</v>
      </c>
      <c r="D2" s="14" t="s">
        <v>322</v>
      </c>
      <c r="E2" s="7">
        <v>4</v>
      </c>
      <c r="F2" s="7">
        <v>10</v>
      </c>
      <c r="G2" s="7">
        <f>F2*E2</f>
        <v>40</v>
      </c>
      <c r="H2" s="7" t="s">
        <v>185</v>
      </c>
      <c r="I2" s="7" t="s">
        <v>323</v>
      </c>
      <c r="J2" s="42" t="s">
        <v>176</v>
      </c>
      <c r="K2" s="35">
        <v>46364</v>
      </c>
      <c r="L2" s="8" t="s">
        <v>324</v>
      </c>
      <c r="M2" s="8" t="s">
        <v>183</v>
      </c>
    </row>
    <row r="3" spans="1:14">
      <c r="A3" s="6">
        <v>45965</v>
      </c>
      <c r="B3" s="7" t="s">
        <v>320</v>
      </c>
      <c r="C3" s="14" t="s">
        <v>325</v>
      </c>
      <c r="D3" s="14" t="s">
        <v>326</v>
      </c>
      <c r="E3" s="7">
        <v>1</v>
      </c>
      <c r="F3" s="7">
        <v>10</v>
      </c>
      <c r="G3" s="7">
        <f t="shared" ref="G3:G53" si="0">F3*E3</f>
        <v>10</v>
      </c>
      <c r="H3" s="7" t="s">
        <v>185</v>
      </c>
      <c r="I3" s="7" t="s">
        <v>327</v>
      </c>
      <c r="J3" s="42" t="s">
        <v>176</v>
      </c>
      <c r="K3" s="10"/>
      <c r="L3" s="10"/>
      <c r="M3" s="10"/>
    </row>
    <row r="4" spans="1:14">
      <c r="A4" s="6">
        <v>45965</v>
      </c>
      <c r="B4" s="7" t="s">
        <v>320</v>
      </c>
      <c r="C4" s="14" t="s">
        <v>328</v>
      </c>
      <c r="D4" s="14" t="s">
        <v>329</v>
      </c>
      <c r="E4" s="7">
        <v>1</v>
      </c>
      <c r="F4" s="7">
        <v>10</v>
      </c>
      <c r="G4" s="7">
        <f t="shared" si="0"/>
        <v>10</v>
      </c>
      <c r="H4" s="7" t="s">
        <v>185</v>
      </c>
      <c r="I4" s="7" t="s">
        <v>327</v>
      </c>
      <c r="J4" s="42" t="s">
        <v>176</v>
      </c>
      <c r="K4" s="10"/>
      <c r="L4" s="10"/>
      <c r="M4" s="10"/>
    </row>
    <row r="5" spans="1:14">
      <c r="A5" s="6">
        <v>45965</v>
      </c>
      <c r="B5" s="7" t="s">
        <v>320</v>
      </c>
      <c r="C5" s="14" t="s">
        <v>330</v>
      </c>
      <c r="D5" s="14" t="s">
        <v>331</v>
      </c>
      <c r="E5" s="7">
        <v>1</v>
      </c>
      <c r="F5" s="7">
        <v>10</v>
      </c>
      <c r="G5" s="7">
        <f t="shared" si="0"/>
        <v>10</v>
      </c>
      <c r="H5" s="7" t="s">
        <v>185</v>
      </c>
      <c r="I5" s="7" t="s">
        <v>327</v>
      </c>
      <c r="J5" s="42" t="s">
        <v>176</v>
      </c>
      <c r="K5" s="10"/>
      <c r="L5" s="10"/>
      <c r="M5" s="10"/>
    </row>
    <row r="6" spans="1:14">
      <c r="A6" s="6">
        <v>45965</v>
      </c>
      <c r="B6" s="7" t="s">
        <v>320</v>
      </c>
      <c r="C6" s="7" t="s">
        <v>332</v>
      </c>
      <c r="D6" s="7" t="s">
        <v>333</v>
      </c>
      <c r="E6" s="7">
        <v>1</v>
      </c>
      <c r="F6" s="7">
        <v>10</v>
      </c>
      <c r="G6" s="7">
        <f t="shared" si="0"/>
        <v>10</v>
      </c>
      <c r="H6" s="7" t="s">
        <v>185</v>
      </c>
      <c r="I6" s="7" t="s">
        <v>327</v>
      </c>
      <c r="J6" s="42" t="s">
        <v>176</v>
      </c>
      <c r="K6" s="10"/>
      <c r="L6" s="10"/>
      <c r="M6" s="10"/>
    </row>
    <row r="7" spans="1:14">
      <c r="A7" s="6">
        <v>45965</v>
      </c>
      <c r="B7" s="7" t="s">
        <v>320</v>
      </c>
      <c r="C7" s="14" t="s">
        <v>334</v>
      </c>
      <c r="D7" s="14" t="s">
        <v>335</v>
      </c>
      <c r="E7" s="7">
        <v>1</v>
      </c>
      <c r="F7" s="7">
        <v>10</v>
      </c>
      <c r="G7" s="7">
        <f t="shared" si="0"/>
        <v>10</v>
      </c>
      <c r="H7" s="7" t="s">
        <v>185</v>
      </c>
      <c r="I7" s="7" t="s">
        <v>327</v>
      </c>
      <c r="J7" s="42" t="s">
        <v>176</v>
      </c>
      <c r="K7" s="10"/>
      <c r="L7" s="10"/>
      <c r="M7" s="10"/>
    </row>
    <row r="8" spans="1:14">
      <c r="A8" s="6">
        <v>45965</v>
      </c>
      <c r="B8" s="7" t="s">
        <v>320</v>
      </c>
      <c r="C8" s="14" t="s">
        <v>336</v>
      </c>
      <c r="D8" s="14" t="s">
        <v>337</v>
      </c>
      <c r="E8" s="7">
        <v>1</v>
      </c>
      <c r="F8" s="7">
        <v>10</v>
      </c>
      <c r="G8" s="7">
        <f t="shared" si="0"/>
        <v>10</v>
      </c>
      <c r="H8" s="7" t="s">
        <v>185</v>
      </c>
      <c r="I8" s="7" t="s">
        <v>327</v>
      </c>
      <c r="J8" s="42" t="s">
        <v>176</v>
      </c>
      <c r="K8" s="10"/>
      <c r="L8" s="10"/>
      <c r="M8" s="10"/>
    </row>
    <row r="9" spans="1:14">
      <c r="A9" s="6">
        <v>45965</v>
      </c>
      <c r="B9" s="7" t="s">
        <v>320</v>
      </c>
      <c r="C9" s="7" t="s">
        <v>338</v>
      </c>
      <c r="D9" s="7" t="s">
        <v>339</v>
      </c>
      <c r="E9" s="7">
        <v>2</v>
      </c>
      <c r="F9" s="7">
        <v>10</v>
      </c>
      <c r="G9" s="7">
        <f t="shared" si="0"/>
        <v>20</v>
      </c>
      <c r="H9" s="7" t="s">
        <v>185</v>
      </c>
      <c r="I9" s="7" t="s">
        <v>327</v>
      </c>
      <c r="J9" s="42" t="s">
        <v>176</v>
      </c>
      <c r="K9" s="10"/>
      <c r="L9" s="10"/>
      <c r="M9" s="10"/>
    </row>
    <row r="10" spans="1:14">
      <c r="A10" s="6">
        <v>45965</v>
      </c>
      <c r="B10" s="7" t="s">
        <v>320</v>
      </c>
      <c r="C10" s="7" t="s">
        <v>340</v>
      </c>
      <c r="D10" s="7" t="s">
        <v>341</v>
      </c>
      <c r="E10" s="7">
        <v>2</v>
      </c>
      <c r="F10" s="7">
        <v>10</v>
      </c>
      <c r="G10" s="7">
        <f t="shared" si="0"/>
        <v>20</v>
      </c>
      <c r="H10" s="7" t="s">
        <v>185</v>
      </c>
      <c r="I10" s="7" t="s">
        <v>327</v>
      </c>
      <c r="J10" s="42" t="s">
        <v>176</v>
      </c>
      <c r="K10" s="12"/>
      <c r="L10" s="12"/>
      <c r="M10" s="12"/>
    </row>
    <row r="11" spans="1:14">
      <c r="A11" s="6">
        <v>45965</v>
      </c>
      <c r="B11" s="7" t="s">
        <v>320</v>
      </c>
      <c r="C11" s="14" t="s">
        <v>342</v>
      </c>
      <c r="D11" s="14" t="s">
        <v>343</v>
      </c>
      <c r="E11" s="7">
        <v>3</v>
      </c>
      <c r="F11" s="7">
        <v>10</v>
      </c>
      <c r="G11" s="7">
        <f t="shared" si="0"/>
        <v>30</v>
      </c>
      <c r="H11" s="7" t="s">
        <v>185</v>
      </c>
      <c r="I11" s="7" t="s">
        <v>344</v>
      </c>
      <c r="J11" s="48"/>
      <c r="K11" s="7"/>
      <c r="L11" s="8" t="s">
        <v>345</v>
      </c>
      <c r="M11" s="7"/>
    </row>
    <row r="12" spans="1:14">
      <c r="A12" s="6">
        <v>45965</v>
      </c>
      <c r="B12" s="7" t="s">
        <v>320</v>
      </c>
      <c r="C12" s="14" t="s">
        <v>346</v>
      </c>
      <c r="D12" s="14" t="s">
        <v>347</v>
      </c>
      <c r="E12" s="7">
        <v>3</v>
      </c>
      <c r="F12" s="7">
        <v>10</v>
      </c>
      <c r="G12" s="7">
        <f t="shared" si="0"/>
        <v>30</v>
      </c>
      <c r="H12" s="7" t="s">
        <v>185</v>
      </c>
      <c r="I12" s="7" t="s">
        <v>344</v>
      </c>
      <c r="J12" s="48"/>
      <c r="K12" s="7"/>
      <c r="L12" s="10"/>
      <c r="M12" s="7"/>
    </row>
    <row r="13" spans="1:14">
      <c r="A13" s="6">
        <v>45965</v>
      </c>
      <c r="B13" s="7" t="s">
        <v>320</v>
      </c>
      <c r="C13" s="14" t="s">
        <v>342</v>
      </c>
      <c r="D13" s="14" t="s">
        <v>348</v>
      </c>
      <c r="E13" s="7">
        <v>8</v>
      </c>
      <c r="F13" s="7">
        <v>10</v>
      </c>
      <c r="G13" s="7">
        <f t="shared" si="0"/>
        <v>80</v>
      </c>
      <c r="H13" s="7" t="s">
        <v>185</v>
      </c>
      <c r="I13" s="7" t="s">
        <v>344</v>
      </c>
      <c r="J13" s="48"/>
      <c r="K13" s="7"/>
      <c r="L13" s="12"/>
      <c r="M13" s="7"/>
    </row>
    <row r="14" spans="1:14">
      <c r="A14" s="6">
        <v>45965</v>
      </c>
      <c r="B14" s="7" t="s">
        <v>320</v>
      </c>
      <c r="C14" s="14" t="s">
        <v>346</v>
      </c>
      <c r="D14" s="14" t="s">
        <v>349</v>
      </c>
      <c r="E14" s="7">
        <v>8</v>
      </c>
      <c r="F14" s="7">
        <v>10</v>
      </c>
      <c r="G14" s="7">
        <f t="shared" si="0"/>
        <v>80</v>
      </c>
      <c r="H14" s="7" t="s">
        <v>185</v>
      </c>
      <c r="I14" s="7" t="s">
        <v>344</v>
      </c>
      <c r="J14" s="42" t="s">
        <v>176</v>
      </c>
      <c r="K14" s="24">
        <v>46364</v>
      </c>
      <c r="L14" s="16" t="s">
        <v>324</v>
      </c>
      <c r="M14" s="16" t="s">
        <v>183</v>
      </c>
    </row>
    <row r="15" spans="1:14">
      <c r="A15" s="6">
        <v>45965</v>
      </c>
      <c r="B15" s="7" t="s">
        <v>320</v>
      </c>
      <c r="C15" s="14" t="s">
        <v>350</v>
      </c>
      <c r="D15" s="14" t="s">
        <v>351</v>
      </c>
      <c r="E15" s="7">
        <v>1</v>
      </c>
      <c r="F15" s="7">
        <v>10</v>
      </c>
      <c r="G15" s="7">
        <f t="shared" si="0"/>
        <v>10</v>
      </c>
      <c r="H15" s="7" t="s">
        <v>185</v>
      </c>
      <c r="I15" s="7" t="s">
        <v>352</v>
      </c>
      <c r="J15" s="42" t="s">
        <v>176</v>
      </c>
      <c r="K15" s="11"/>
      <c r="L15" s="11"/>
      <c r="M15" s="11"/>
    </row>
    <row r="16" spans="1:14">
      <c r="A16" s="6">
        <v>45965</v>
      </c>
      <c r="B16" s="7" t="s">
        <v>320</v>
      </c>
      <c r="C16" s="14" t="s">
        <v>353</v>
      </c>
      <c r="D16" s="14" t="s">
        <v>354</v>
      </c>
      <c r="E16" s="7">
        <v>1</v>
      </c>
      <c r="F16" s="7">
        <v>10</v>
      </c>
      <c r="G16" s="7">
        <f t="shared" si="0"/>
        <v>10</v>
      </c>
      <c r="H16" s="7" t="s">
        <v>185</v>
      </c>
      <c r="I16" s="7" t="s">
        <v>352</v>
      </c>
      <c r="J16" s="42" t="s">
        <v>176</v>
      </c>
      <c r="K16" s="11"/>
      <c r="L16" s="11"/>
      <c r="M16" s="11"/>
    </row>
    <row r="17" spans="1:13">
      <c r="A17" s="6">
        <v>45965</v>
      </c>
      <c r="B17" s="7" t="s">
        <v>320</v>
      </c>
      <c r="C17" s="14" t="s">
        <v>355</v>
      </c>
      <c r="D17" s="14" t="s">
        <v>356</v>
      </c>
      <c r="E17" s="7">
        <v>1</v>
      </c>
      <c r="F17" s="7">
        <v>10</v>
      </c>
      <c r="G17" s="7">
        <f t="shared" si="0"/>
        <v>10</v>
      </c>
      <c r="H17" s="7" t="s">
        <v>185</v>
      </c>
      <c r="I17" s="7" t="s">
        <v>352</v>
      </c>
      <c r="J17" s="42" t="s">
        <v>176</v>
      </c>
      <c r="K17" s="11"/>
      <c r="L17" s="11"/>
      <c r="M17" s="11"/>
    </row>
    <row r="18" spans="1:13">
      <c r="A18" s="6">
        <v>45965</v>
      </c>
      <c r="B18" s="7" t="s">
        <v>320</v>
      </c>
      <c r="C18" s="7" t="s">
        <v>357</v>
      </c>
      <c r="D18" s="7" t="s">
        <v>358</v>
      </c>
      <c r="E18" s="7">
        <v>5</v>
      </c>
      <c r="F18" s="7">
        <v>10</v>
      </c>
      <c r="G18" s="7">
        <f t="shared" si="0"/>
        <v>50</v>
      </c>
      <c r="H18" s="7" t="s">
        <v>185</v>
      </c>
      <c r="I18" s="7" t="s">
        <v>344</v>
      </c>
      <c r="J18" s="42" t="s">
        <v>176</v>
      </c>
      <c r="K18" s="11"/>
      <c r="L18" s="11"/>
      <c r="M18" s="11"/>
    </row>
    <row r="19" spans="1:13">
      <c r="A19" s="6">
        <v>45965</v>
      </c>
      <c r="B19" s="7" t="s">
        <v>320</v>
      </c>
      <c r="C19" s="14" t="s">
        <v>359</v>
      </c>
      <c r="D19" s="14" t="s">
        <v>360</v>
      </c>
      <c r="E19" s="7">
        <v>5</v>
      </c>
      <c r="F19" s="7">
        <v>10</v>
      </c>
      <c r="G19" s="7">
        <f t="shared" si="0"/>
        <v>50</v>
      </c>
      <c r="H19" s="7" t="s">
        <v>185</v>
      </c>
      <c r="I19" s="7" t="s">
        <v>344</v>
      </c>
      <c r="J19" s="42" t="s">
        <v>176</v>
      </c>
      <c r="K19" s="11"/>
      <c r="L19" s="11"/>
      <c r="M19" s="11"/>
    </row>
    <row r="20" spans="1:13">
      <c r="A20" s="6">
        <v>45965</v>
      </c>
      <c r="B20" s="7" t="s">
        <v>320</v>
      </c>
      <c r="C20" s="14" t="s">
        <v>361</v>
      </c>
      <c r="D20" s="14" t="s">
        <v>362</v>
      </c>
      <c r="E20" s="7">
        <v>2</v>
      </c>
      <c r="F20" s="7">
        <v>10</v>
      </c>
      <c r="G20" s="7">
        <f t="shared" si="0"/>
        <v>20</v>
      </c>
      <c r="H20" s="7" t="s">
        <v>185</v>
      </c>
      <c r="I20" s="7" t="s">
        <v>344</v>
      </c>
      <c r="J20" s="42" t="s">
        <v>176</v>
      </c>
      <c r="K20" s="11"/>
      <c r="L20" s="11"/>
      <c r="M20" s="11"/>
    </row>
    <row r="21" spans="1:13">
      <c r="A21" s="6">
        <v>45965</v>
      </c>
      <c r="B21" s="7" t="s">
        <v>320</v>
      </c>
      <c r="C21" s="14" t="s">
        <v>363</v>
      </c>
      <c r="D21" s="14" t="s">
        <v>364</v>
      </c>
      <c r="E21" s="7">
        <v>2</v>
      </c>
      <c r="F21" s="7">
        <v>10</v>
      </c>
      <c r="G21" s="7">
        <f t="shared" si="0"/>
        <v>20</v>
      </c>
      <c r="H21" s="7" t="s">
        <v>185</v>
      </c>
      <c r="I21" s="7" t="s">
        <v>344</v>
      </c>
      <c r="J21" s="42" t="s">
        <v>176</v>
      </c>
      <c r="K21" s="11"/>
      <c r="L21" s="11"/>
      <c r="M21" s="11"/>
    </row>
    <row r="22" spans="1:13">
      <c r="A22" s="6">
        <v>45965</v>
      </c>
      <c r="B22" s="7" t="s">
        <v>320</v>
      </c>
      <c r="C22" s="7" t="s">
        <v>365</v>
      </c>
      <c r="D22" s="7" t="s">
        <v>366</v>
      </c>
      <c r="E22" s="7">
        <v>1</v>
      </c>
      <c r="F22" s="7">
        <v>10</v>
      </c>
      <c r="G22" s="7">
        <f t="shared" si="0"/>
        <v>10</v>
      </c>
      <c r="H22" s="7" t="s">
        <v>185</v>
      </c>
      <c r="I22" s="7" t="s">
        <v>344</v>
      </c>
      <c r="J22" s="42" t="s">
        <v>176</v>
      </c>
      <c r="K22" s="11"/>
      <c r="L22" s="11"/>
      <c r="M22" s="11"/>
    </row>
    <row r="23" spans="1:13">
      <c r="A23" s="6">
        <v>45965</v>
      </c>
      <c r="B23" s="7" t="s">
        <v>320</v>
      </c>
      <c r="C23" s="14" t="s">
        <v>367</v>
      </c>
      <c r="D23" s="14" t="s">
        <v>368</v>
      </c>
      <c r="E23" s="7">
        <v>1</v>
      </c>
      <c r="F23" s="7">
        <v>10</v>
      </c>
      <c r="G23" s="7">
        <f t="shared" si="0"/>
        <v>10</v>
      </c>
      <c r="H23" s="7" t="s">
        <v>185</v>
      </c>
      <c r="I23" s="7" t="s">
        <v>344</v>
      </c>
      <c r="J23" s="42" t="s">
        <v>176</v>
      </c>
      <c r="K23" s="11"/>
      <c r="L23" s="11"/>
      <c r="M23" s="11"/>
    </row>
    <row r="24" spans="1:13">
      <c r="A24" s="6">
        <v>45965</v>
      </c>
      <c r="B24" s="7" t="s">
        <v>320</v>
      </c>
      <c r="C24" s="14" t="s">
        <v>369</v>
      </c>
      <c r="D24" s="14" t="s">
        <v>370</v>
      </c>
      <c r="E24" s="7">
        <v>1</v>
      </c>
      <c r="F24" s="7">
        <v>10</v>
      </c>
      <c r="G24" s="7">
        <f t="shared" si="0"/>
        <v>10</v>
      </c>
      <c r="H24" s="7" t="s">
        <v>185</v>
      </c>
      <c r="I24" s="7" t="s">
        <v>344</v>
      </c>
      <c r="J24" s="42" t="s">
        <v>176</v>
      </c>
      <c r="K24" s="11"/>
      <c r="L24" s="11"/>
      <c r="M24" s="11"/>
    </row>
    <row r="25" spans="1:13">
      <c r="A25" s="6">
        <v>45965</v>
      </c>
      <c r="B25" s="7" t="s">
        <v>320</v>
      </c>
      <c r="C25" s="14" t="s">
        <v>371</v>
      </c>
      <c r="D25" s="14" t="s">
        <v>372</v>
      </c>
      <c r="E25" s="7">
        <v>1</v>
      </c>
      <c r="F25" s="7">
        <v>10</v>
      </c>
      <c r="G25" s="7">
        <f t="shared" si="0"/>
        <v>10</v>
      </c>
      <c r="H25" s="7" t="s">
        <v>185</v>
      </c>
      <c r="I25" s="7" t="s">
        <v>344</v>
      </c>
      <c r="J25" s="42" t="s">
        <v>176</v>
      </c>
      <c r="K25" s="11"/>
      <c r="L25" s="11"/>
      <c r="M25" s="11"/>
    </row>
    <row r="26" spans="1:13">
      <c r="A26" s="6">
        <v>45965</v>
      </c>
      <c r="B26" s="7" t="s">
        <v>320</v>
      </c>
      <c r="C26" s="14" t="s">
        <v>373</v>
      </c>
      <c r="D26" s="14" t="s">
        <v>374</v>
      </c>
      <c r="E26" s="7">
        <v>1</v>
      </c>
      <c r="F26" s="7">
        <v>10</v>
      </c>
      <c r="G26" s="7">
        <f t="shared" si="0"/>
        <v>10</v>
      </c>
      <c r="H26" s="7" t="s">
        <v>185</v>
      </c>
      <c r="I26" s="7" t="s">
        <v>327</v>
      </c>
      <c r="J26" s="42" t="s">
        <v>176</v>
      </c>
      <c r="K26" s="11"/>
      <c r="L26" s="11"/>
      <c r="M26" s="11"/>
    </row>
    <row r="27" spans="1:13">
      <c r="A27" s="6">
        <v>45965</v>
      </c>
      <c r="B27" s="7" t="s">
        <v>320</v>
      </c>
      <c r="C27" s="14" t="s">
        <v>375</v>
      </c>
      <c r="D27" s="14" t="s">
        <v>376</v>
      </c>
      <c r="E27" s="7">
        <v>1</v>
      </c>
      <c r="F27" s="7">
        <v>10</v>
      </c>
      <c r="G27" s="7">
        <f t="shared" si="0"/>
        <v>10</v>
      </c>
      <c r="H27" s="7" t="s">
        <v>185</v>
      </c>
      <c r="I27" s="7" t="s">
        <v>327</v>
      </c>
      <c r="J27" s="42" t="s">
        <v>176</v>
      </c>
      <c r="K27" s="11"/>
      <c r="L27" s="11"/>
      <c r="M27" s="11"/>
    </row>
    <row r="28" spans="1:13">
      <c r="A28" s="6">
        <v>45965</v>
      </c>
      <c r="B28" s="7" t="s">
        <v>320</v>
      </c>
      <c r="C28" s="14" t="s">
        <v>377</v>
      </c>
      <c r="D28" s="14" t="s">
        <v>378</v>
      </c>
      <c r="E28" s="7">
        <v>1</v>
      </c>
      <c r="F28" s="7">
        <v>10</v>
      </c>
      <c r="G28" s="7">
        <f t="shared" si="0"/>
        <v>10</v>
      </c>
      <c r="H28" s="7" t="s">
        <v>185</v>
      </c>
      <c r="I28" s="7" t="s">
        <v>379</v>
      </c>
      <c r="J28" s="42" t="s">
        <v>176</v>
      </c>
      <c r="K28" s="11"/>
      <c r="L28" s="11"/>
      <c r="M28" s="11"/>
    </row>
    <row r="29" spans="1:13">
      <c r="A29" s="6">
        <v>45965</v>
      </c>
      <c r="B29" s="7" t="s">
        <v>320</v>
      </c>
      <c r="C29" s="7" t="s">
        <v>380</v>
      </c>
      <c r="D29" s="7" t="s">
        <v>381</v>
      </c>
      <c r="E29" s="7">
        <v>2</v>
      </c>
      <c r="F29" s="7">
        <v>10</v>
      </c>
      <c r="G29" s="7">
        <f t="shared" si="0"/>
        <v>20</v>
      </c>
      <c r="H29" s="7" t="s">
        <v>185</v>
      </c>
      <c r="I29" s="7" t="s">
        <v>382</v>
      </c>
      <c r="J29" s="42" t="s">
        <v>176</v>
      </c>
      <c r="K29" s="11"/>
      <c r="L29" s="11"/>
      <c r="M29" s="11"/>
    </row>
    <row r="30" spans="1:13">
      <c r="A30" s="6">
        <v>45965</v>
      </c>
      <c r="B30" s="7" t="s">
        <v>320</v>
      </c>
      <c r="C30" s="7" t="s">
        <v>383</v>
      </c>
      <c r="D30" s="7" t="s">
        <v>384</v>
      </c>
      <c r="E30" s="7">
        <v>2</v>
      </c>
      <c r="F30" s="7">
        <v>10</v>
      </c>
      <c r="G30" s="7">
        <f t="shared" si="0"/>
        <v>20</v>
      </c>
      <c r="H30" s="7" t="s">
        <v>185</v>
      </c>
      <c r="I30" s="7" t="s">
        <v>385</v>
      </c>
      <c r="J30" s="42" t="s">
        <v>176</v>
      </c>
      <c r="K30" s="11"/>
      <c r="L30" s="11"/>
      <c r="M30" s="11"/>
    </row>
    <row r="31" spans="1:13">
      <c r="A31" s="6">
        <v>45965</v>
      </c>
      <c r="B31" s="7" t="s">
        <v>320</v>
      </c>
      <c r="C31" s="7" t="s">
        <v>386</v>
      </c>
      <c r="D31" s="7" t="s">
        <v>387</v>
      </c>
      <c r="E31" s="7">
        <v>1</v>
      </c>
      <c r="F31" s="7">
        <v>10</v>
      </c>
      <c r="G31" s="7">
        <f t="shared" si="0"/>
        <v>10</v>
      </c>
      <c r="H31" s="7" t="s">
        <v>185</v>
      </c>
      <c r="I31" s="7" t="s">
        <v>388</v>
      </c>
      <c r="J31" s="42" t="s">
        <v>176</v>
      </c>
      <c r="K31" s="11"/>
      <c r="L31" s="11"/>
      <c r="M31" s="11"/>
    </row>
    <row r="32" spans="1:13">
      <c r="A32" s="6">
        <v>45965</v>
      </c>
      <c r="B32" s="7" t="s">
        <v>320</v>
      </c>
      <c r="C32" s="7" t="s">
        <v>389</v>
      </c>
      <c r="D32" s="7" t="s">
        <v>390</v>
      </c>
      <c r="E32" s="7">
        <v>1</v>
      </c>
      <c r="F32" s="7">
        <v>10</v>
      </c>
      <c r="G32" s="7">
        <f t="shared" si="0"/>
        <v>10</v>
      </c>
      <c r="H32" s="7" t="s">
        <v>185</v>
      </c>
      <c r="I32" s="7" t="s">
        <v>391</v>
      </c>
      <c r="J32" s="42" t="s">
        <v>176</v>
      </c>
      <c r="K32" s="13"/>
      <c r="L32" s="13"/>
      <c r="M32" s="13"/>
    </row>
    <row r="33" spans="1:13">
      <c r="A33" s="6">
        <v>45965</v>
      </c>
      <c r="B33" s="7" t="s">
        <v>320</v>
      </c>
      <c r="C33" s="7" t="s">
        <v>392</v>
      </c>
      <c r="D33" s="7" t="s">
        <v>393</v>
      </c>
      <c r="E33" s="7">
        <v>1</v>
      </c>
      <c r="F33" s="7">
        <v>10</v>
      </c>
      <c r="G33" s="7">
        <f t="shared" si="0"/>
        <v>10</v>
      </c>
      <c r="H33" s="7" t="s">
        <v>185</v>
      </c>
      <c r="I33" s="7" t="s">
        <v>394</v>
      </c>
      <c r="J33" s="42" t="s">
        <v>176</v>
      </c>
      <c r="K33" s="24">
        <v>46364</v>
      </c>
      <c r="L33" s="16" t="s">
        <v>324</v>
      </c>
      <c r="M33" s="16" t="s">
        <v>183</v>
      </c>
    </row>
    <row r="34" spans="1:13">
      <c r="A34" s="6">
        <v>45965</v>
      </c>
      <c r="B34" s="7" t="s">
        <v>320</v>
      </c>
      <c r="C34" s="7" t="s">
        <v>392</v>
      </c>
      <c r="D34" s="7" t="s">
        <v>395</v>
      </c>
      <c r="E34" s="7">
        <v>1</v>
      </c>
      <c r="F34" s="7">
        <v>10</v>
      </c>
      <c r="G34" s="7">
        <f t="shared" si="0"/>
        <v>10</v>
      </c>
      <c r="H34" s="7" t="s">
        <v>185</v>
      </c>
      <c r="I34" s="7" t="s">
        <v>394</v>
      </c>
      <c r="J34" s="42" t="s">
        <v>176</v>
      </c>
      <c r="K34" s="11"/>
      <c r="L34" s="11"/>
      <c r="M34" s="11"/>
    </row>
    <row r="35" spans="1:13">
      <c r="A35" s="6">
        <v>45965</v>
      </c>
      <c r="B35" s="7" t="s">
        <v>320</v>
      </c>
      <c r="C35" s="7" t="s">
        <v>396</v>
      </c>
      <c r="D35" s="7" t="s">
        <v>397</v>
      </c>
      <c r="E35" s="7">
        <v>2</v>
      </c>
      <c r="F35" s="7">
        <v>10</v>
      </c>
      <c r="G35" s="7">
        <f t="shared" si="0"/>
        <v>20</v>
      </c>
      <c r="H35" s="7" t="s">
        <v>185</v>
      </c>
      <c r="I35" s="7" t="s">
        <v>394</v>
      </c>
      <c r="J35" s="42" t="s">
        <v>176</v>
      </c>
      <c r="K35" s="11"/>
      <c r="L35" s="11"/>
      <c r="M35" s="11"/>
    </row>
    <row r="36" spans="1:13">
      <c r="A36" s="6">
        <v>45965</v>
      </c>
      <c r="B36" s="7" t="s">
        <v>320</v>
      </c>
      <c r="C36" s="7" t="s">
        <v>396</v>
      </c>
      <c r="D36" s="7" t="s">
        <v>398</v>
      </c>
      <c r="E36" s="7">
        <v>2</v>
      </c>
      <c r="F36" s="7">
        <v>10</v>
      </c>
      <c r="G36" s="7">
        <f t="shared" si="0"/>
        <v>20</v>
      </c>
      <c r="H36" s="7" t="s">
        <v>185</v>
      </c>
      <c r="I36" s="7" t="s">
        <v>394</v>
      </c>
      <c r="J36" s="42" t="s">
        <v>176</v>
      </c>
      <c r="K36" s="11"/>
      <c r="L36" s="11"/>
      <c r="M36" s="11"/>
    </row>
    <row r="37" spans="1:13">
      <c r="A37" s="6">
        <v>45965</v>
      </c>
      <c r="B37" s="7" t="s">
        <v>320</v>
      </c>
      <c r="C37" s="7" t="s">
        <v>396</v>
      </c>
      <c r="D37" s="7" t="s">
        <v>399</v>
      </c>
      <c r="E37" s="7">
        <v>1</v>
      </c>
      <c r="F37" s="7">
        <v>10</v>
      </c>
      <c r="G37" s="7">
        <f t="shared" si="0"/>
        <v>10</v>
      </c>
      <c r="H37" s="7" t="s">
        <v>185</v>
      </c>
      <c r="I37" s="7" t="s">
        <v>394</v>
      </c>
      <c r="J37" s="42" t="s">
        <v>176</v>
      </c>
      <c r="K37" s="11"/>
      <c r="L37" s="11"/>
      <c r="M37" s="11"/>
    </row>
    <row r="38" spans="1:13">
      <c r="A38" s="6">
        <v>45965</v>
      </c>
      <c r="B38" s="7" t="s">
        <v>320</v>
      </c>
      <c r="C38" s="7" t="s">
        <v>396</v>
      </c>
      <c r="D38" s="7" t="s">
        <v>400</v>
      </c>
      <c r="E38" s="7">
        <v>1</v>
      </c>
      <c r="F38" s="7">
        <v>10</v>
      </c>
      <c r="G38" s="7">
        <f t="shared" si="0"/>
        <v>10</v>
      </c>
      <c r="H38" s="7" t="s">
        <v>185</v>
      </c>
      <c r="I38" s="7" t="s">
        <v>394</v>
      </c>
      <c r="J38" s="42" t="s">
        <v>176</v>
      </c>
      <c r="K38" s="11"/>
      <c r="L38" s="11"/>
      <c r="M38" s="11"/>
    </row>
    <row r="39" spans="1:13">
      <c r="A39" s="6">
        <v>45965</v>
      </c>
      <c r="B39" s="7" t="s">
        <v>320</v>
      </c>
      <c r="C39" s="7" t="s">
        <v>396</v>
      </c>
      <c r="D39" s="7" t="s">
        <v>401</v>
      </c>
      <c r="E39" s="7">
        <v>1</v>
      </c>
      <c r="F39" s="7">
        <v>10</v>
      </c>
      <c r="G39" s="7">
        <f t="shared" si="0"/>
        <v>10</v>
      </c>
      <c r="H39" s="7" t="s">
        <v>185</v>
      </c>
      <c r="I39" s="7" t="s">
        <v>394</v>
      </c>
      <c r="J39" s="42" t="s">
        <v>176</v>
      </c>
      <c r="K39" s="11"/>
      <c r="L39" s="11"/>
      <c r="M39" s="11"/>
    </row>
    <row r="40" spans="1:13">
      <c r="A40" s="6">
        <v>45965</v>
      </c>
      <c r="B40" s="7" t="s">
        <v>320</v>
      </c>
      <c r="C40" s="7" t="s">
        <v>396</v>
      </c>
      <c r="D40" s="7" t="s">
        <v>402</v>
      </c>
      <c r="E40" s="7">
        <v>1</v>
      </c>
      <c r="F40" s="7">
        <v>10</v>
      </c>
      <c r="G40" s="7">
        <f t="shared" si="0"/>
        <v>10</v>
      </c>
      <c r="H40" s="7" t="s">
        <v>185</v>
      </c>
      <c r="I40" s="7" t="s">
        <v>394</v>
      </c>
      <c r="J40" s="42" t="s">
        <v>176</v>
      </c>
      <c r="K40" s="11"/>
      <c r="L40" s="11"/>
      <c r="M40" s="11"/>
    </row>
    <row r="41" spans="1:13">
      <c r="A41" s="6">
        <v>45965</v>
      </c>
      <c r="B41" s="7" t="s">
        <v>320</v>
      </c>
      <c r="C41" s="7" t="s">
        <v>396</v>
      </c>
      <c r="D41" s="7" t="s">
        <v>403</v>
      </c>
      <c r="E41" s="7">
        <v>1</v>
      </c>
      <c r="F41" s="7">
        <v>10</v>
      </c>
      <c r="G41" s="7">
        <f t="shared" si="0"/>
        <v>10</v>
      </c>
      <c r="H41" s="7" t="s">
        <v>185</v>
      </c>
      <c r="I41" s="7" t="s">
        <v>394</v>
      </c>
      <c r="J41" s="42" t="s">
        <v>176</v>
      </c>
      <c r="K41" s="11"/>
      <c r="L41" s="11"/>
      <c r="M41" s="11"/>
    </row>
    <row r="42" spans="1:13">
      <c r="A42" s="6">
        <v>45965</v>
      </c>
      <c r="B42" s="7" t="s">
        <v>320</v>
      </c>
      <c r="C42" s="7" t="s">
        <v>396</v>
      </c>
      <c r="D42" s="7" t="s">
        <v>404</v>
      </c>
      <c r="E42" s="7">
        <v>1</v>
      </c>
      <c r="F42" s="7">
        <v>10</v>
      </c>
      <c r="G42" s="7">
        <f t="shared" si="0"/>
        <v>10</v>
      </c>
      <c r="H42" s="7" t="s">
        <v>185</v>
      </c>
      <c r="I42" s="7" t="s">
        <v>394</v>
      </c>
      <c r="J42" s="42" t="s">
        <v>176</v>
      </c>
      <c r="K42" s="11"/>
      <c r="L42" s="11"/>
      <c r="M42" s="11"/>
    </row>
    <row r="43" spans="1:13">
      <c r="A43" s="6">
        <v>45965</v>
      </c>
      <c r="B43" s="7" t="s">
        <v>320</v>
      </c>
      <c r="C43" s="7" t="s">
        <v>405</v>
      </c>
      <c r="D43" s="7" t="s">
        <v>406</v>
      </c>
      <c r="E43" s="7">
        <v>1</v>
      </c>
      <c r="F43" s="7">
        <v>10</v>
      </c>
      <c r="G43" s="7">
        <f t="shared" si="0"/>
        <v>10</v>
      </c>
      <c r="H43" s="7" t="s">
        <v>185</v>
      </c>
      <c r="I43" s="7" t="s">
        <v>394</v>
      </c>
      <c r="J43" s="42" t="s">
        <v>176</v>
      </c>
      <c r="K43" s="11"/>
      <c r="L43" s="11"/>
      <c r="M43" s="11"/>
    </row>
    <row r="44" spans="1:13">
      <c r="A44" s="6">
        <v>45965</v>
      </c>
      <c r="B44" s="7" t="s">
        <v>320</v>
      </c>
      <c r="C44" s="7" t="s">
        <v>405</v>
      </c>
      <c r="D44" s="7" t="s">
        <v>407</v>
      </c>
      <c r="E44" s="7">
        <v>1</v>
      </c>
      <c r="F44" s="7">
        <v>10</v>
      </c>
      <c r="G44" s="7">
        <f t="shared" si="0"/>
        <v>10</v>
      </c>
      <c r="H44" s="7" t="s">
        <v>185</v>
      </c>
      <c r="I44" s="7" t="s">
        <v>394</v>
      </c>
      <c r="J44" s="42" t="s">
        <v>176</v>
      </c>
      <c r="K44" s="11"/>
      <c r="L44" s="11"/>
      <c r="M44" s="11"/>
    </row>
    <row r="45" spans="1:13">
      <c r="A45" s="6">
        <v>45965</v>
      </c>
      <c r="B45" s="7" t="s">
        <v>320</v>
      </c>
      <c r="C45" s="7" t="s">
        <v>408</v>
      </c>
      <c r="D45" s="7" t="s">
        <v>409</v>
      </c>
      <c r="E45" s="7">
        <v>100</v>
      </c>
      <c r="F45" s="7">
        <v>10</v>
      </c>
      <c r="G45" s="7">
        <f t="shared" si="0"/>
        <v>1000</v>
      </c>
      <c r="H45" s="7" t="s">
        <v>185</v>
      </c>
      <c r="I45" s="7" t="s">
        <v>394</v>
      </c>
      <c r="J45" s="42" t="s">
        <v>176</v>
      </c>
      <c r="K45" s="11"/>
      <c r="L45" s="11"/>
      <c r="M45" s="11"/>
    </row>
    <row r="46" spans="1:13">
      <c r="A46" s="6">
        <v>45965</v>
      </c>
      <c r="B46" s="7" t="s">
        <v>320</v>
      </c>
      <c r="C46" s="7" t="s">
        <v>410</v>
      </c>
      <c r="D46" s="7" t="s">
        <v>411</v>
      </c>
      <c r="E46" s="7">
        <v>100</v>
      </c>
      <c r="F46" s="7">
        <v>10</v>
      </c>
      <c r="G46" s="7">
        <f t="shared" si="0"/>
        <v>1000</v>
      </c>
      <c r="H46" s="7" t="s">
        <v>185</v>
      </c>
      <c r="I46" s="7" t="s">
        <v>394</v>
      </c>
      <c r="J46" s="42" t="s">
        <v>176</v>
      </c>
      <c r="K46" s="11"/>
      <c r="L46" s="11"/>
      <c r="M46" s="11"/>
    </row>
    <row r="47" spans="1:13">
      <c r="A47" s="6">
        <v>45965</v>
      </c>
      <c r="B47" s="7" t="s">
        <v>320</v>
      </c>
      <c r="C47" s="7" t="s">
        <v>408</v>
      </c>
      <c r="D47" s="7" t="s">
        <v>412</v>
      </c>
      <c r="E47" s="7">
        <v>20</v>
      </c>
      <c r="F47" s="7">
        <v>10</v>
      </c>
      <c r="G47" s="7">
        <f t="shared" si="0"/>
        <v>200</v>
      </c>
      <c r="H47" s="7" t="s">
        <v>185</v>
      </c>
      <c r="I47" s="7" t="s">
        <v>394</v>
      </c>
      <c r="J47" s="42" t="s">
        <v>176</v>
      </c>
      <c r="K47" s="11"/>
      <c r="L47" s="11"/>
      <c r="M47" s="11"/>
    </row>
    <row r="48" spans="1:13">
      <c r="A48" s="6">
        <v>45965</v>
      </c>
      <c r="B48" s="7" t="s">
        <v>320</v>
      </c>
      <c r="C48" s="7" t="s">
        <v>410</v>
      </c>
      <c r="D48" s="7" t="s">
        <v>413</v>
      </c>
      <c r="E48" s="7">
        <v>20</v>
      </c>
      <c r="F48" s="7">
        <v>10</v>
      </c>
      <c r="G48" s="7">
        <f t="shared" si="0"/>
        <v>200</v>
      </c>
      <c r="H48" s="7" t="s">
        <v>185</v>
      </c>
      <c r="I48" s="7" t="s">
        <v>394</v>
      </c>
      <c r="J48" s="42" t="s">
        <v>176</v>
      </c>
      <c r="K48" s="11"/>
      <c r="L48" s="11"/>
      <c r="M48" s="11"/>
    </row>
    <row r="49" spans="1:13">
      <c r="A49" s="6">
        <v>45965</v>
      </c>
      <c r="B49" s="7" t="s">
        <v>320</v>
      </c>
      <c r="C49" s="7" t="s">
        <v>414</v>
      </c>
      <c r="D49" s="7" t="s">
        <v>415</v>
      </c>
      <c r="E49" s="7">
        <v>2</v>
      </c>
      <c r="F49" s="7">
        <v>10</v>
      </c>
      <c r="G49" s="7">
        <f t="shared" si="0"/>
        <v>20</v>
      </c>
      <c r="H49" s="7" t="s">
        <v>185</v>
      </c>
      <c r="I49" s="7" t="s">
        <v>394</v>
      </c>
      <c r="J49" s="42" t="s">
        <v>176</v>
      </c>
      <c r="K49" s="11"/>
      <c r="L49" s="11"/>
      <c r="M49" s="11"/>
    </row>
    <row r="50" spans="1:13">
      <c r="A50" s="6">
        <v>45965</v>
      </c>
      <c r="B50" s="7" t="s">
        <v>320</v>
      </c>
      <c r="C50" s="7" t="s">
        <v>416</v>
      </c>
      <c r="D50" s="7" t="s">
        <v>417</v>
      </c>
      <c r="E50" s="7">
        <v>1</v>
      </c>
      <c r="F50" s="7">
        <v>10</v>
      </c>
      <c r="G50" s="7">
        <f t="shared" si="0"/>
        <v>10</v>
      </c>
      <c r="H50" s="7" t="s">
        <v>185</v>
      </c>
      <c r="I50" s="7" t="s">
        <v>394</v>
      </c>
      <c r="J50" s="42" t="s">
        <v>176</v>
      </c>
      <c r="K50" s="13"/>
      <c r="L50" s="13"/>
      <c r="M50" s="13"/>
    </row>
    <row r="51" spans="1:13">
      <c r="A51" s="6">
        <v>45968</v>
      </c>
      <c r="B51" s="7" t="s">
        <v>320</v>
      </c>
      <c r="C51" s="7" t="s">
        <v>418</v>
      </c>
      <c r="D51" s="7" t="s">
        <v>419</v>
      </c>
      <c r="E51" s="7">
        <v>1</v>
      </c>
      <c r="F51" s="7">
        <v>10</v>
      </c>
      <c r="G51" s="7">
        <f t="shared" si="0"/>
        <v>10</v>
      </c>
      <c r="H51" s="7" t="s">
        <v>151</v>
      </c>
      <c r="I51" s="7" t="s">
        <v>420</v>
      </c>
      <c r="J51" s="14" t="s">
        <v>176</v>
      </c>
      <c r="K51" s="7"/>
      <c r="L51" s="7" t="s">
        <v>324</v>
      </c>
      <c r="M51" s="7"/>
    </row>
    <row r="52" spans="1:13">
      <c r="A52" s="6">
        <v>45968</v>
      </c>
      <c r="B52" s="7" t="s">
        <v>320</v>
      </c>
      <c r="C52" s="7" t="s">
        <v>421</v>
      </c>
      <c r="D52" s="7" t="s">
        <v>422</v>
      </c>
      <c r="E52" s="7">
        <v>8</v>
      </c>
      <c r="F52" s="7">
        <v>10</v>
      </c>
      <c r="G52" s="7">
        <f t="shared" si="0"/>
        <v>80</v>
      </c>
      <c r="H52" s="7" t="s">
        <v>185</v>
      </c>
      <c r="I52" s="7" t="s">
        <v>344</v>
      </c>
      <c r="J52" s="14" t="s">
        <v>176</v>
      </c>
      <c r="K52" s="7"/>
      <c r="L52" s="7"/>
      <c r="M52" s="7"/>
    </row>
    <row r="53" spans="1:13">
      <c r="A53" s="6">
        <v>45968</v>
      </c>
      <c r="B53" s="7" t="s">
        <v>320</v>
      </c>
      <c r="C53" s="7" t="s">
        <v>421</v>
      </c>
      <c r="D53" s="7" t="s">
        <v>423</v>
      </c>
      <c r="E53" s="7">
        <v>8</v>
      </c>
      <c r="F53" s="7">
        <v>10</v>
      </c>
      <c r="G53" s="7">
        <f t="shared" si="0"/>
        <v>80</v>
      </c>
      <c r="H53" s="7" t="s">
        <v>185</v>
      </c>
      <c r="I53" s="7" t="s">
        <v>344</v>
      </c>
      <c r="J53" s="14" t="s">
        <v>176</v>
      </c>
      <c r="K53" s="7"/>
      <c r="L53" s="49"/>
      <c r="M53" s="7"/>
    </row>
  </sheetData>
  <mergeCells count="10">
    <mergeCell ref="K2:K10"/>
    <mergeCell ref="K14:K32"/>
    <mergeCell ref="K33:K50"/>
    <mergeCell ref="L2:L10"/>
    <mergeCell ref="L11:L13"/>
    <mergeCell ref="L14:L32"/>
    <mergeCell ref="L33:L50"/>
    <mergeCell ref="M2:M10"/>
    <mergeCell ref="M14:M32"/>
    <mergeCell ref="M33:M50"/>
  </mergeCells>
  <dataValidations count="1">
    <dataValidation type="list" allowBlank="1" showInputMessage="1" showErrorMessage="1" sqref="J2:J53">
      <formula1>"已到货,未到货"</formula1>
    </dataValidation>
  </dataValidation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workbookViewId="0">
      <selection activeCell="I8" sqref="I8"/>
    </sheetView>
  </sheetViews>
  <sheetFormatPr defaultColWidth="8.66666666666667" defaultRowHeight="14" outlineLevelRow="4"/>
  <cols>
    <col min="1" max="1" width="14.75" customWidth="1"/>
    <col min="3" max="3" width="16.5833333333333" customWidth="1"/>
    <col min="4" max="4" width="15.9166666666667" customWidth="1"/>
  </cols>
  <sheetData>
    <row r="1" s="1" customFormat="1" ht="30.65" customHeight="1" spans="1:14">
      <c r="A1" s="2" t="s">
        <v>128</v>
      </c>
      <c r="B1" s="3" t="s">
        <v>129</v>
      </c>
      <c r="C1" s="4" t="s">
        <v>130</v>
      </c>
      <c r="D1" s="2" t="s">
        <v>131</v>
      </c>
      <c r="E1" s="2" t="s">
        <v>4</v>
      </c>
      <c r="F1" s="2" t="s">
        <v>132</v>
      </c>
      <c r="G1" s="3" t="s">
        <v>133</v>
      </c>
      <c r="H1" s="3" t="s">
        <v>134</v>
      </c>
      <c r="I1" s="3" t="s">
        <v>2</v>
      </c>
      <c r="J1" s="3" t="s">
        <v>135</v>
      </c>
      <c r="K1" s="2" t="s">
        <v>136</v>
      </c>
      <c r="L1" s="2" t="s">
        <v>137</v>
      </c>
      <c r="M1" s="3" t="s">
        <v>138</v>
      </c>
      <c r="N1" s="5"/>
    </row>
    <row r="2" spans="1:14">
      <c r="A2" s="6">
        <v>46065</v>
      </c>
      <c r="B2" s="7" t="s">
        <v>424</v>
      </c>
      <c r="C2" s="14" t="s">
        <v>396</v>
      </c>
      <c r="D2" s="14" t="s">
        <v>401</v>
      </c>
      <c r="E2" s="7">
        <v>1</v>
      </c>
      <c r="F2" s="7">
        <v>10</v>
      </c>
      <c r="G2" s="7">
        <f>F2*E2</f>
        <v>10</v>
      </c>
      <c r="H2" s="7" t="s">
        <v>185</v>
      </c>
      <c r="I2" s="7" t="s">
        <v>394</v>
      </c>
      <c r="J2" s="14" t="s">
        <v>176</v>
      </c>
      <c r="K2" s="7"/>
      <c r="L2" s="7"/>
      <c r="M2" s="7"/>
    </row>
    <row r="3" spans="1:14">
      <c r="A3" s="6">
        <v>46065</v>
      </c>
      <c r="B3" s="7" t="s">
        <v>424</v>
      </c>
      <c r="C3" s="14" t="s">
        <v>396</v>
      </c>
      <c r="D3" s="14" t="s">
        <v>402</v>
      </c>
      <c r="E3" s="7">
        <v>1</v>
      </c>
      <c r="F3" s="7">
        <v>10</v>
      </c>
      <c r="G3" s="7">
        <f>F3*E3</f>
        <v>10</v>
      </c>
      <c r="H3" s="7" t="s">
        <v>185</v>
      </c>
      <c r="I3" s="7" t="s">
        <v>394</v>
      </c>
      <c r="J3" s="14" t="s">
        <v>176</v>
      </c>
      <c r="K3" s="7"/>
      <c r="L3" s="7"/>
      <c r="M3" s="7"/>
    </row>
    <row r="4" spans="1:14">
      <c r="A4" s="6">
        <v>46065</v>
      </c>
      <c r="B4" s="7" t="s">
        <v>424</v>
      </c>
      <c r="C4" s="14" t="s">
        <v>425</v>
      </c>
      <c r="D4" s="14" t="s">
        <v>426</v>
      </c>
      <c r="E4" s="7">
        <v>1</v>
      </c>
      <c r="F4" s="7">
        <v>10</v>
      </c>
      <c r="G4" s="7">
        <f>F4*E4</f>
        <v>10</v>
      </c>
      <c r="H4" s="7" t="s">
        <v>185</v>
      </c>
      <c r="I4" s="7" t="s">
        <v>6</v>
      </c>
      <c r="J4" s="14" t="s">
        <v>176</v>
      </c>
      <c r="K4" s="7"/>
      <c r="L4" s="7"/>
      <c r="M4" s="7"/>
    </row>
    <row r="5" spans="1:14">
      <c r="A5" s="6">
        <v>46065</v>
      </c>
      <c r="B5" s="7" t="s">
        <v>424</v>
      </c>
      <c r="C5" s="14" t="s">
        <v>427</v>
      </c>
      <c r="D5" s="14" t="s">
        <v>428</v>
      </c>
      <c r="E5" s="7">
        <v>1</v>
      </c>
      <c r="F5" s="7">
        <v>10</v>
      </c>
      <c r="G5" s="7">
        <f>F5*E5</f>
        <v>10</v>
      </c>
      <c r="H5" s="7" t="s">
        <v>185</v>
      </c>
      <c r="I5" s="7" t="s">
        <v>344</v>
      </c>
      <c r="J5" s="14" t="s">
        <v>176</v>
      </c>
      <c r="K5" s="7"/>
      <c r="L5" s="7"/>
      <c r="M5" s="7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1"/>
  <sheetViews>
    <sheetView topLeftCell="B1" workbookViewId="0">
      <selection activeCell="L8" sqref="L8"/>
    </sheetView>
  </sheetViews>
  <sheetFormatPr defaultColWidth="8.66666666666667" defaultRowHeight="14"/>
  <cols>
    <col min="1" max="1" width="12.0833333333333" customWidth="1"/>
    <col min="2" max="2" width="10.6666666666667" customWidth="1"/>
    <col min="3" max="3" width="18.0833333333333" customWidth="1"/>
    <col min="4" max="4" width="20.1666666666667" customWidth="1"/>
    <col min="6" max="6" width="11.6666666666667" customWidth="1"/>
    <col min="9" max="9" width="15.3333333333333" customWidth="1"/>
    <col min="10" max="10" width="9.5" customWidth="1"/>
    <col min="11" max="11" width="9.75" customWidth="1"/>
    <col min="12" max="12" width="11.6666666666667" customWidth="1"/>
  </cols>
  <sheetData>
    <row r="1" s="1" customFormat="1" ht="30.65" customHeight="1" spans="1:14">
      <c r="A1" s="2" t="s">
        <v>128</v>
      </c>
      <c r="B1" s="3" t="s">
        <v>129</v>
      </c>
      <c r="C1" s="4" t="s">
        <v>130</v>
      </c>
      <c r="D1" s="2" t="s">
        <v>131</v>
      </c>
      <c r="E1" s="2" t="s">
        <v>4</v>
      </c>
      <c r="F1" s="2" t="s">
        <v>132</v>
      </c>
      <c r="G1" s="3" t="s">
        <v>133</v>
      </c>
      <c r="H1" s="3" t="s">
        <v>134</v>
      </c>
      <c r="I1" s="3" t="s">
        <v>2</v>
      </c>
      <c r="J1" s="3" t="s">
        <v>135</v>
      </c>
      <c r="K1" s="2" t="s">
        <v>136</v>
      </c>
      <c r="L1" s="2" t="s">
        <v>137</v>
      </c>
      <c r="M1" s="3" t="s">
        <v>138</v>
      </c>
      <c r="N1" s="5"/>
    </row>
    <row r="2" spans="1:14">
      <c r="A2" s="6">
        <v>46081</v>
      </c>
      <c r="B2" s="7" t="s">
        <v>429</v>
      </c>
      <c r="C2" s="7" t="s">
        <v>430</v>
      </c>
      <c r="D2" s="7" t="s">
        <v>431</v>
      </c>
      <c r="E2" s="7">
        <v>56</v>
      </c>
      <c r="F2" s="7">
        <v>1</v>
      </c>
      <c r="G2" s="7">
        <f t="shared" ref="G2:G8" si="0">E2*F2</f>
        <v>56</v>
      </c>
      <c r="H2" s="7" t="s">
        <v>265</v>
      </c>
      <c r="I2" s="7" t="s">
        <v>432</v>
      </c>
      <c r="J2" s="14" t="s">
        <v>176</v>
      </c>
      <c r="K2" s="39">
        <v>46092</v>
      </c>
      <c r="L2" s="7"/>
      <c r="M2" s="8" t="s">
        <v>183</v>
      </c>
    </row>
    <row r="3" spans="1:14">
      <c r="A3" s="6">
        <v>46081</v>
      </c>
      <c r="B3" s="7" t="s">
        <v>429</v>
      </c>
      <c r="C3" s="7" t="s">
        <v>433</v>
      </c>
      <c r="D3" s="7" t="s">
        <v>434</v>
      </c>
      <c r="E3" s="7">
        <v>2000</v>
      </c>
      <c r="F3" s="7">
        <v>1</v>
      </c>
      <c r="G3" s="7">
        <f t="shared" si="0"/>
        <v>2000</v>
      </c>
      <c r="H3" s="7" t="s">
        <v>260</v>
      </c>
      <c r="I3" s="7" t="s">
        <v>227</v>
      </c>
      <c r="J3" s="14" t="s">
        <v>176</v>
      </c>
      <c r="K3" s="39">
        <v>46092</v>
      </c>
      <c r="L3" s="7" t="s">
        <v>435</v>
      </c>
      <c r="M3" s="12"/>
    </row>
    <row r="4" spans="1:14">
      <c r="A4" s="6">
        <v>46050</v>
      </c>
      <c r="B4" s="7" t="s">
        <v>429</v>
      </c>
      <c r="C4" s="7" t="s">
        <v>436</v>
      </c>
      <c r="D4" s="7" t="s">
        <v>437</v>
      </c>
      <c r="E4" s="7">
        <v>2</v>
      </c>
      <c r="F4" s="7">
        <v>1</v>
      </c>
      <c r="G4" s="7">
        <f t="shared" si="0"/>
        <v>2</v>
      </c>
      <c r="H4" s="7" t="s">
        <v>185</v>
      </c>
      <c r="I4" s="7" t="s">
        <v>438</v>
      </c>
      <c r="J4" s="14" t="s">
        <v>176</v>
      </c>
      <c r="K4" s="39"/>
      <c r="L4" s="7"/>
      <c r="M4" s="7"/>
    </row>
    <row r="5" spans="1:14">
      <c r="A5" s="6">
        <v>46097</v>
      </c>
      <c r="B5" s="7" t="s">
        <v>429</v>
      </c>
      <c r="C5" s="7" t="s">
        <v>439</v>
      </c>
      <c r="D5" s="7" t="s">
        <v>440</v>
      </c>
      <c r="E5" s="7">
        <v>4200</v>
      </c>
      <c r="F5" s="7">
        <v>1</v>
      </c>
      <c r="G5" s="7">
        <f t="shared" si="0"/>
        <v>4200</v>
      </c>
      <c r="H5" s="7" t="s">
        <v>441</v>
      </c>
      <c r="I5" s="7" t="s">
        <v>442</v>
      </c>
      <c r="J5" s="40" t="s">
        <v>162</v>
      </c>
      <c r="K5" s="39"/>
      <c r="L5" s="7"/>
      <c r="M5" s="7"/>
    </row>
    <row r="6" spans="1:14">
      <c r="A6" s="6">
        <v>46097</v>
      </c>
      <c r="B6" s="7" t="s">
        <v>429</v>
      </c>
      <c r="C6" s="7" t="s">
        <v>439</v>
      </c>
      <c r="D6" s="7" t="s">
        <v>443</v>
      </c>
      <c r="E6" s="7">
        <v>8000</v>
      </c>
      <c r="F6" s="7">
        <v>1</v>
      </c>
      <c r="G6" s="7">
        <f t="shared" si="0"/>
        <v>8000</v>
      </c>
      <c r="H6" s="7" t="s">
        <v>441</v>
      </c>
      <c r="I6" s="7" t="s">
        <v>442</v>
      </c>
      <c r="J6" s="41"/>
      <c r="K6" s="39"/>
      <c r="L6" s="7"/>
      <c r="M6" s="7"/>
    </row>
    <row r="7" spans="1:14">
      <c r="A7" s="6">
        <v>46097</v>
      </c>
      <c r="B7" s="7" t="s">
        <v>429</v>
      </c>
      <c r="C7" s="7" t="s">
        <v>444</v>
      </c>
      <c r="D7" s="7" t="s">
        <v>445</v>
      </c>
      <c r="E7" s="7">
        <v>2000</v>
      </c>
      <c r="F7" s="7">
        <v>1</v>
      </c>
      <c r="G7" s="7">
        <f t="shared" si="0"/>
        <v>2000</v>
      </c>
      <c r="H7" s="7" t="s">
        <v>446</v>
      </c>
      <c r="I7" s="7" t="s">
        <v>77</v>
      </c>
      <c r="J7" s="38" t="s">
        <v>176</v>
      </c>
      <c r="K7" s="39"/>
      <c r="L7" s="7"/>
      <c r="M7" s="7"/>
    </row>
    <row r="8" spans="1:14">
      <c r="A8" s="6">
        <v>46097</v>
      </c>
      <c r="B8" s="7" t="s">
        <v>429</v>
      </c>
      <c r="C8" s="7" t="s">
        <v>447</v>
      </c>
      <c r="D8" s="7" t="s">
        <v>448</v>
      </c>
      <c r="E8" s="7">
        <v>2000</v>
      </c>
      <c r="F8" s="7">
        <v>1</v>
      </c>
      <c r="G8" s="7">
        <f t="shared" si="0"/>
        <v>2000</v>
      </c>
      <c r="H8" s="7" t="s">
        <v>185</v>
      </c>
      <c r="I8" s="7" t="s">
        <v>227</v>
      </c>
      <c r="J8" s="38" t="s">
        <v>176</v>
      </c>
      <c r="K8" s="39"/>
      <c r="L8" s="7"/>
      <c r="M8" s="7"/>
    </row>
    <row r="9" spans="1:14">
      <c r="A9" s="6">
        <v>45994</v>
      </c>
      <c r="B9" s="7" t="s">
        <v>429</v>
      </c>
      <c r="C9" s="7" t="s">
        <v>449</v>
      </c>
      <c r="D9" s="7" t="s">
        <v>450</v>
      </c>
      <c r="E9" s="7">
        <v>2</v>
      </c>
      <c r="F9" s="7">
        <v>7</v>
      </c>
      <c r="G9" s="7">
        <f t="shared" ref="G9:G29" si="1">E9*F9</f>
        <v>14</v>
      </c>
      <c r="H9" s="7" t="s">
        <v>265</v>
      </c>
      <c r="I9" s="7" t="s">
        <v>227</v>
      </c>
      <c r="J9" s="38" t="s">
        <v>176</v>
      </c>
      <c r="K9" s="24">
        <v>46092</v>
      </c>
      <c r="L9" s="16" t="s">
        <v>303</v>
      </c>
      <c r="M9" s="16" t="s">
        <v>183</v>
      </c>
    </row>
    <row r="10" spans="1:14">
      <c r="A10" s="6">
        <v>45994</v>
      </c>
      <c r="B10" s="7" t="s">
        <v>429</v>
      </c>
      <c r="C10" s="7" t="s">
        <v>451</v>
      </c>
      <c r="D10" s="7" t="s">
        <v>452</v>
      </c>
      <c r="E10" s="7">
        <v>2</v>
      </c>
      <c r="F10" s="7">
        <v>7</v>
      </c>
      <c r="G10" s="7">
        <f t="shared" si="1"/>
        <v>14</v>
      </c>
      <c r="H10" s="7" t="s">
        <v>265</v>
      </c>
      <c r="I10" s="7" t="s">
        <v>77</v>
      </c>
      <c r="J10" s="38" t="s">
        <v>176</v>
      </c>
      <c r="K10" s="29"/>
      <c r="L10" s="11"/>
      <c r="M10" s="11"/>
    </row>
    <row r="11" spans="1:14">
      <c r="A11" s="6">
        <v>45994</v>
      </c>
      <c r="B11" s="7" t="s">
        <v>429</v>
      </c>
      <c r="C11" s="7" t="s">
        <v>444</v>
      </c>
      <c r="D11" s="7" t="s">
        <v>453</v>
      </c>
      <c r="E11" s="7">
        <v>3</v>
      </c>
      <c r="F11" s="7">
        <v>7</v>
      </c>
      <c r="G11" s="7">
        <f t="shared" si="1"/>
        <v>21</v>
      </c>
      <c r="H11" s="7" t="s">
        <v>454</v>
      </c>
      <c r="I11" s="7" t="s">
        <v>77</v>
      </c>
      <c r="J11" s="38" t="s">
        <v>176</v>
      </c>
      <c r="K11" s="29"/>
      <c r="L11" s="11"/>
      <c r="M11" s="11"/>
    </row>
    <row r="12" spans="1:14">
      <c r="A12" s="6">
        <v>45994</v>
      </c>
      <c r="B12" s="7" t="s">
        <v>429</v>
      </c>
      <c r="C12" s="7" t="s">
        <v>455</v>
      </c>
      <c r="D12" s="7" t="s">
        <v>456</v>
      </c>
      <c r="E12" s="7">
        <v>1</v>
      </c>
      <c r="F12" s="7">
        <v>7</v>
      </c>
      <c r="G12" s="7">
        <f t="shared" si="1"/>
        <v>7</v>
      </c>
      <c r="H12" s="7" t="s">
        <v>265</v>
      </c>
      <c r="I12" s="7" t="s">
        <v>457</v>
      </c>
      <c r="J12" s="38" t="s">
        <v>176</v>
      </c>
      <c r="K12" s="29"/>
      <c r="L12" s="11"/>
      <c r="M12" s="11"/>
    </row>
    <row r="13" spans="1:14">
      <c r="A13" s="6">
        <v>45994</v>
      </c>
      <c r="B13" s="7" t="s">
        <v>429</v>
      </c>
      <c r="C13" s="7" t="s">
        <v>458</v>
      </c>
      <c r="D13" s="7" t="s">
        <v>459</v>
      </c>
      <c r="E13" s="7">
        <v>1</v>
      </c>
      <c r="F13" s="7">
        <v>7</v>
      </c>
      <c r="G13" s="7">
        <f t="shared" si="1"/>
        <v>7</v>
      </c>
      <c r="H13" s="7" t="s">
        <v>185</v>
      </c>
      <c r="I13" s="7" t="s">
        <v>460</v>
      </c>
      <c r="J13" s="38" t="s">
        <v>176</v>
      </c>
      <c r="K13" s="29"/>
      <c r="L13" s="11"/>
      <c r="M13" s="11"/>
    </row>
    <row r="14" spans="1:14">
      <c r="A14" s="6">
        <v>45994</v>
      </c>
      <c r="B14" s="7" t="s">
        <v>429</v>
      </c>
      <c r="C14" s="7" t="s">
        <v>461</v>
      </c>
      <c r="D14" s="7" t="s">
        <v>462</v>
      </c>
      <c r="E14" s="7">
        <v>2</v>
      </c>
      <c r="F14" s="7">
        <v>7</v>
      </c>
      <c r="G14" s="7">
        <f t="shared" si="1"/>
        <v>14</v>
      </c>
      <c r="H14" s="7" t="s">
        <v>265</v>
      </c>
      <c r="I14" s="7" t="s">
        <v>463</v>
      </c>
      <c r="J14" s="38" t="s">
        <v>176</v>
      </c>
      <c r="K14" s="29"/>
      <c r="L14" s="11"/>
      <c r="M14" s="11"/>
    </row>
    <row r="15" spans="1:14">
      <c r="A15" s="6">
        <v>45994</v>
      </c>
      <c r="B15" s="7" t="s">
        <v>429</v>
      </c>
      <c r="C15" s="7" t="s">
        <v>464</v>
      </c>
      <c r="D15" s="7" t="s">
        <v>465</v>
      </c>
      <c r="E15" s="7">
        <v>1</v>
      </c>
      <c r="F15" s="7">
        <v>7</v>
      </c>
      <c r="G15" s="7">
        <f t="shared" si="1"/>
        <v>7</v>
      </c>
      <c r="H15" s="7" t="s">
        <v>265</v>
      </c>
      <c r="I15" s="7" t="s">
        <v>77</v>
      </c>
      <c r="J15" s="38" t="s">
        <v>176</v>
      </c>
      <c r="K15" s="29"/>
      <c r="L15" s="11"/>
      <c r="M15" s="11"/>
    </row>
    <row r="16" spans="1:14">
      <c r="A16" s="6">
        <v>45994</v>
      </c>
      <c r="B16" s="7" t="s">
        <v>429</v>
      </c>
      <c r="C16" s="7" t="s">
        <v>466</v>
      </c>
      <c r="D16" s="7" t="s">
        <v>467</v>
      </c>
      <c r="E16" s="7">
        <v>10</v>
      </c>
      <c r="F16" s="7">
        <v>7</v>
      </c>
      <c r="G16" s="7">
        <f t="shared" si="1"/>
        <v>70</v>
      </c>
      <c r="H16" s="7" t="s">
        <v>265</v>
      </c>
      <c r="I16" s="7" t="s">
        <v>468</v>
      </c>
      <c r="J16" s="38" t="s">
        <v>176</v>
      </c>
      <c r="K16" s="29"/>
      <c r="L16" s="11"/>
      <c r="M16" s="11"/>
    </row>
    <row r="17" spans="1:13">
      <c r="A17" s="6">
        <v>45994</v>
      </c>
      <c r="B17" s="7" t="s">
        <v>429</v>
      </c>
      <c r="C17" s="7" t="s">
        <v>466</v>
      </c>
      <c r="D17" s="7" t="s">
        <v>469</v>
      </c>
      <c r="E17" s="7">
        <v>6</v>
      </c>
      <c r="F17" s="7">
        <v>7</v>
      </c>
      <c r="G17" s="7">
        <f t="shared" si="1"/>
        <v>42</v>
      </c>
      <c r="H17" s="7" t="s">
        <v>454</v>
      </c>
      <c r="I17" s="7" t="s">
        <v>77</v>
      </c>
      <c r="J17" s="38" t="s">
        <v>176</v>
      </c>
      <c r="K17" s="29"/>
      <c r="L17" s="11"/>
      <c r="M17" s="11"/>
    </row>
    <row r="18" spans="1:13">
      <c r="A18" s="6">
        <v>45994</v>
      </c>
      <c r="B18" s="7" t="s">
        <v>429</v>
      </c>
      <c r="C18" s="7" t="s">
        <v>466</v>
      </c>
      <c r="D18" s="7" t="s">
        <v>470</v>
      </c>
      <c r="E18" s="7">
        <v>1</v>
      </c>
      <c r="F18" s="7">
        <v>7</v>
      </c>
      <c r="G18" s="7">
        <f t="shared" si="1"/>
        <v>7</v>
      </c>
      <c r="H18" s="7" t="s">
        <v>265</v>
      </c>
      <c r="I18" s="7" t="s">
        <v>471</v>
      </c>
      <c r="J18" s="38" t="s">
        <v>176</v>
      </c>
      <c r="K18" s="29"/>
      <c r="L18" s="11"/>
      <c r="M18" s="11"/>
    </row>
    <row r="19" spans="1:13">
      <c r="A19" s="6">
        <v>45994</v>
      </c>
      <c r="B19" s="7" t="s">
        <v>429</v>
      </c>
      <c r="C19" s="7" t="s">
        <v>466</v>
      </c>
      <c r="D19" s="7" t="s">
        <v>472</v>
      </c>
      <c r="E19" s="7">
        <v>1</v>
      </c>
      <c r="F19" s="7">
        <v>7</v>
      </c>
      <c r="G19" s="7">
        <f t="shared" si="1"/>
        <v>7</v>
      </c>
      <c r="H19" s="7" t="s">
        <v>454</v>
      </c>
      <c r="I19" s="7" t="s">
        <v>77</v>
      </c>
      <c r="J19" s="38" t="s">
        <v>176</v>
      </c>
      <c r="K19" s="29"/>
      <c r="L19" s="11"/>
      <c r="M19" s="11"/>
    </row>
    <row r="20" spans="1:13">
      <c r="A20" s="6">
        <v>45994</v>
      </c>
      <c r="B20" s="7" t="s">
        <v>429</v>
      </c>
      <c r="C20" s="7" t="s">
        <v>466</v>
      </c>
      <c r="D20" s="7" t="s">
        <v>473</v>
      </c>
      <c r="E20" s="7">
        <v>10</v>
      </c>
      <c r="F20" s="7">
        <v>7</v>
      </c>
      <c r="G20" s="7">
        <f t="shared" si="1"/>
        <v>70</v>
      </c>
      <c r="H20" s="7" t="s">
        <v>454</v>
      </c>
      <c r="I20" s="7" t="s">
        <v>77</v>
      </c>
      <c r="J20" s="38" t="s">
        <v>176</v>
      </c>
      <c r="K20" s="29"/>
      <c r="L20" s="11"/>
      <c r="M20" s="11"/>
    </row>
    <row r="21" spans="1:13">
      <c r="A21" s="6">
        <v>45994</v>
      </c>
      <c r="B21" s="7" t="s">
        <v>429</v>
      </c>
      <c r="C21" s="7" t="s">
        <v>466</v>
      </c>
      <c r="D21" s="7" t="s">
        <v>474</v>
      </c>
      <c r="E21" s="7">
        <v>10</v>
      </c>
      <c r="F21" s="7">
        <v>7</v>
      </c>
      <c r="G21" s="7">
        <f t="shared" si="1"/>
        <v>70</v>
      </c>
      <c r="H21" s="7" t="s">
        <v>454</v>
      </c>
      <c r="I21" s="7" t="s">
        <v>77</v>
      </c>
      <c r="J21" s="38" t="s">
        <v>176</v>
      </c>
      <c r="K21" s="29"/>
      <c r="L21" s="11"/>
      <c r="M21" s="11"/>
    </row>
    <row r="22" spans="1:13">
      <c r="A22" s="6">
        <v>45994</v>
      </c>
      <c r="B22" s="7" t="s">
        <v>429</v>
      </c>
      <c r="C22" s="7" t="s">
        <v>308</v>
      </c>
      <c r="D22" s="7" t="s">
        <v>475</v>
      </c>
      <c r="E22" s="7">
        <v>5</v>
      </c>
      <c r="F22" s="7">
        <v>7</v>
      </c>
      <c r="G22" s="7">
        <f t="shared" si="1"/>
        <v>35</v>
      </c>
      <c r="H22" s="7" t="s">
        <v>265</v>
      </c>
      <c r="I22" s="7" t="s">
        <v>476</v>
      </c>
      <c r="J22" s="38" t="s">
        <v>176</v>
      </c>
      <c r="K22" s="29"/>
      <c r="L22" s="11"/>
      <c r="M22" s="11"/>
    </row>
    <row r="23" spans="1:13">
      <c r="A23" s="6">
        <v>45994</v>
      </c>
      <c r="B23" s="7" t="s">
        <v>429</v>
      </c>
      <c r="C23" s="7" t="s">
        <v>477</v>
      </c>
      <c r="D23" s="7" t="s">
        <v>478</v>
      </c>
      <c r="E23" s="7">
        <v>1</v>
      </c>
      <c r="F23" s="7">
        <v>7</v>
      </c>
      <c r="G23" s="7">
        <f t="shared" si="1"/>
        <v>7</v>
      </c>
      <c r="H23" s="7" t="s">
        <v>265</v>
      </c>
      <c r="I23" s="7" t="s">
        <v>310</v>
      </c>
      <c r="J23" s="38" t="s">
        <v>176</v>
      </c>
      <c r="K23" s="29"/>
      <c r="L23" s="11"/>
      <c r="M23" s="11"/>
    </row>
    <row r="24" spans="1:13">
      <c r="A24" s="6">
        <v>45994</v>
      </c>
      <c r="B24" s="7" t="s">
        <v>429</v>
      </c>
      <c r="C24" s="7" t="s">
        <v>479</v>
      </c>
      <c r="D24" s="7" t="s">
        <v>480</v>
      </c>
      <c r="E24" s="7">
        <v>2</v>
      </c>
      <c r="F24" s="7">
        <v>7</v>
      </c>
      <c r="G24" s="7">
        <f t="shared" si="1"/>
        <v>14</v>
      </c>
      <c r="H24" s="7" t="s">
        <v>265</v>
      </c>
      <c r="I24" s="7" t="s">
        <v>481</v>
      </c>
      <c r="J24" s="38" t="s">
        <v>176</v>
      </c>
      <c r="K24" s="30"/>
      <c r="L24" s="13"/>
      <c r="M24" s="13"/>
    </row>
    <row r="25" spans="1:13">
      <c r="A25" s="6">
        <v>45994</v>
      </c>
      <c r="B25" s="7" t="s">
        <v>429</v>
      </c>
      <c r="C25" s="7" t="s">
        <v>482</v>
      </c>
      <c r="D25" s="7" t="s">
        <v>483</v>
      </c>
      <c r="E25" s="7">
        <v>1</v>
      </c>
      <c r="F25" s="7">
        <v>7</v>
      </c>
      <c r="G25" s="7">
        <f t="shared" si="1"/>
        <v>7</v>
      </c>
      <c r="H25" s="7" t="s">
        <v>142</v>
      </c>
      <c r="I25" s="7" t="s">
        <v>484</v>
      </c>
      <c r="J25" s="14" t="s">
        <v>176</v>
      </c>
      <c r="K25" s="35">
        <v>46365</v>
      </c>
      <c r="L25" s="8" t="s">
        <v>303</v>
      </c>
      <c r="M25" s="8" t="s">
        <v>183</v>
      </c>
    </row>
    <row r="26" spans="1:13">
      <c r="A26" s="6">
        <v>45994</v>
      </c>
      <c r="B26" s="7" t="s">
        <v>429</v>
      </c>
      <c r="C26" s="7" t="s">
        <v>485</v>
      </c>
      <c r="D26" s="7" t="s">
        <v>486</v>
      </c>
      <c r="E26" s="7">
        <v>2</v>
      </c>
      <c r="F26" s="7">
        <v>7</v>
      </c>
      <c r="G26" s="7">
        <f t="shared" si="1"/>
        <v>14</v>
      </c>
      <c r="H26" s="7" t="s">
        <v>185</v>
      </c>
      <c r="I26" s="7" t="s">
        <v>487</v>
      </c>
      <c r="J26" s="14" t="s">
        <v>176</v>
      </c>
      <c r="K26" s="10"/>
      <c r="L26" s="10"/>
      <c r="M26" s="10"/>
    </row>
    <row r="27" spans="1:13">
      <c r="A27" s="6">
        <v>45994</v>
      </c>
      <c r="B27" s="7" t="s">
        <v>429</v>
      </c>
      <c r="C27" s="7" t="s">
        <v>488</v>
      </c>
      <c r="D27" s="7" t="s">
        <v>489</v>
      </c>
      <c r="E27" s="7">
        <v>2</v>
      </c>
      <c r="F27" s="7">
        <v>7</v>
      </c>
      <c r="G27" s="7">
        <f t="shared" si="1"/>
        <v>14</v>
      </c>
      <c r="H27" s="7" t="s">
        <v>185</v>
      </c>
      <c r="I27" s="7" t="s">
        <v>487</v>
      </c>
      <c r="J27" s="14" t="s">
        <v>176</v>
      </c>
      <c r="K27" s="10"/>
      <c r="L27" s="10"/>
      <c r="M27" s="10"/>
    </row>
    <row r="28" spans="1:13">
      <c r="A28" s="6">
        <v>45994</v>
      </c>
      <c r="B28" s="7" t="s">
        <v>429</v>
      </c>
      <c r="C28" s="7" t="s">
        <v>490</v>
      </c>
      <c r="D28" s="7" t="s">
        <v>491</v>
      </c>
      <c r="E28" s="7">
        <v>1</v>
      </c>
      <c r="F28" s="7">
        <v>7</v>
      </c>
      <c r="G28" s="7">
        <f t="shared" si="1"/>
        <v>7</v>
      </c>
      <c r="H28" s="7" t="s">
        <v>171</v>
      </c>
      <c r="I28" s="7" t="s">
        <v>227</v>
      </c>
      <c r="J28" s="14" t="s">
        <v>176</v>
      </c>
      <c r="K28" s="10"/>
      <c r="L28" s="10"/>
      <c r="M28" s="10"/>
    </row>
    <row r="29" spans="1:13">
      <c r="A29" s="6">
        <v>45994</v>
      </c>
      <c r="B29" s="7" t="s">
        <v>429</v>
      </c>
      <c r="C29" s="7" t="s">
        <v>277</v>
      </c>
      <c r="D29" s="7" t="s">
        <v>492</v>
      </c>
      <c r="E29" s="7">
        <v>1</v>
      </c>
      <c r="F29" s="7">
        <v>7</v>
      </c>
      <c r="G29" s="7">
        <f t="shared" si="1"/>
        <v>7</v>
      </c>
      <c r="H29" s="7" t="s">
        <v>171</v>
      </c>
      <c r="I29" s="7" t="s">
        <v>77</v>
      </c>
      <c r="J29" s="14" t="s">
        <v>176</v>
      </c>
      <c r="K29" s="12"/>
      <c r="L29" s="12"/>
      <c r="M29" s="12"/>
    </row>
    <row r="30" spans="1:13">
      <c r="A30" s="6">
        <v>46001</v>
      </c>
      <c r="B30" s="7" t="s">
        <v>429</v>
      </c>
      <c r="C30" s="7" t="s">
        <v>222</v>
      </c>
      <c r="D30" s="7" t="s">
        <v>493</v>
      </c>
      <c r="E30" s="7">
        <v>1</v>
      </c>
      <c r="F30" s="7">
        <v>6</v>
      </c>
      <c r="G30" s="7">
        <f t="shared" ref="G30:G35" si="2">E30*F30</f>
        <v>6</v>
      </c>
      <c r="H30" s="7" t="s">
        <v>142</v>
      </c>
      <c r="I30" s="7" t="s">
        <v>494</v>
      </c>
      <c r="J30" s="38" t="s">
        <v>176</v>
      </c>
      <c r="K30" s="7"/>
      <c r="L30" s="7"/>
      <c r="M30" s="7"/>
    </row>
    <row r="31" spans="1:13">
      <c r="A31" s="6">
        <v>46001</v>
      </c>
      <c r="B31" s="7" t="s">
        <v>429</v>
      </c>
      <c r="C31" s="7" t="s">
        <v>243</v>
      </c>
      <c r="D31" s="7" t="s">
        <v>495</v>
      </c>
      <c r="E31" s="7">
        <v>25</v>
      </c>
      <c r="F31" s="7">
        <v>6</v>
      </c>
      <c r="G31" s="7">
        <f t="shared" si="2"/>
        <v>150</v>
      </c>
      <c r="H31" s="7" t="s">
        <v>185</v>
      </c>
      <c r="I31" s="7" t="s">
        <v>494</v>
      </c>
      <c r="J31" s="38" t="s">
        <v>176</v>
      </c>
      <c r="K31" s="7"/>
      <c r="L31" s="7"/>
      <c r="M31" s="7"/>
    </row>
    <row r="32" spans="1:13">
      <c r="A32" s="6">
        <v>46001</v>
      </c>
      <c r="B32" s="7" t="s">
        <v>429</v>
      </c>
      <c r="C32" s="7" t="s">
        <v>243</v>
      </c>
      <c r="D32" s="7" t="s">
        <v>496</v>
      </c>
      <c r="E32" s="7">
        <v>10</v>
      </c>
      <c r="F32" s="7">
        <v>6</v>
      </c>
      <c r="G32" s="7">
        <f t="shared" si="2"/>
        <v>60</v>
      </c>
      <c r="H32" s="7" t="s">
        <v>185</v>
      </c>
      <c r="I32" s="7" t="s">
        <v>494</v>
      </c>
      <c r="J32" s="38" t="s">
        <v>176</v>
      </c>
      <c r="K32" s="7"/>
      <c r="L32" s="7"/>
      <c r="M32" s="7"/>
    </row>
    <row r="33" spans="1:13">
      <c r="A33" s="6">
        <v>46001</v>
      </c>
      <c r="B33" s="7" t="s">
        <v>429</v>
      </c>
      <c r="C33" s="7" t="s">
        <v>222</v>
      </c>
      <c r="D33" s="7" t="s">
        <v>497</v>
      </c>
      <c r="E33" s="7">
        <v>1</v>
      </c>
      <c r="F33" s="7">
        <v>6</v>
      </c>
      <c r="G33" s="7">
        <f t="shared" si="2"/>
        <v>6</v>
      </c>
      <c r="H33" s="7" t="s">
        <v>142</v>
      </c>
      <c r="I33" s="7" t="s">
        <v>494</v>
      </c>
      <c r="J33" s="38" t="s">
        <v>176</v>
      </c>
      <c r="K33" s="7"/>
      <c r="L33" s="7"/>
      <c r="M33" s="7"/>
    </row>
    <row r="34" spans="1:13">
      <c r="A34" s="6">
        <v>46001</v>
      </c>
      <c r="B34" s="7" t="s">
        <v>429</v>
      </c>
      <c r="C34" s="7" t="s">
        <v>243</v>
      </c>
      <c r="D34" s="7" t="s">
        <v>498</v>
      </c>
      <c r="E34" s="7">
        <v>35</v>
      </c>
      <c r="F34" s="7">
        <v>6</v>
      </c>
      <c r="G34" s="7">
        <f t="shared" si="2"/>
        <v>210</v>
      </c>
      <c r="H34" s="7" t="s">
        <v>185</v>
      </c>
      <c r="I34" s="7" t="s">
        <v>494</v>
      </c>
      <c r="J34" s="38" t="s">
        <v>176</v>
      </c>
      <c r="K34" s="7"/>
      <c r="L34" s="7"/>
      <c r="M34" s="7"/>
    </row>
    <row r="35" spans="1:13">
      <c r="A35" s="6">
        <v>46001</v>
      </c>
      <c r="B35" s="7" t="s">
        <v>429</v>
      </c>
      <c r="C35" s="7" t="s">
        <v>243</v>
      </c>
      <c r="D35" s="7" t="s">
        <v>499</v>
      </c>
      <c r="E35" s="7">
        <v>6</v>
      </c>
      <c r="F35" s="7">
        <v>6</v>
      </c>
      <c r="G35" s="7">
        <f t="shared" si="2"/>
        <v>36</v>
      </c>
      <c r="H35" s="7" t="s">
        <v>185</v>
      </c>
      <c r="I35" s="7" t="s">
        <v>494</v>
      </c>
      <c r="J35" s="38" t="s">
        <v>176</v>
      </c>
      <c r="K35" s="7"/>
      <c r="L35" s="7"/>
      <c r="M35" s="7"/>
    </row>
    <row r="36" spans="1:13">
      <c r="A36" s="6">
        <v>45989</v>
      </c>
      <c r="B36" s="7" t="s">
        <v>429</v>
      </c>
      <c r="C36" s="7" t="s">
        <v>266</v>
      </c>
      <c r="D36" s="7" t="s">
        <v>500</v>
      </c>
      <c r="E36" s="7">
        <v>100</v>
      </c>
      <c r="F36" s="7">
        <v>6</v>
      </c>
      <c r="G36" s="7">
        <f t="shared" ref="G36:G57" si="3">E36*F36</f>
        <v>600</v>
      </c>
      <c r="H36" s="7" t="s">
        <v>441</v>
      </c>
      <c r="I36" s="7" t="s">
        <v>268</v>
      </c>
      <c r="J36" s="38" t="s">
        <v>176</v>
      </c>
      <c r="K36" s="35">
        <v>46365</v>
      </c>
      <c r="L36" s="8"/>
      <c r="M36" s="8" t="s">
        <v>183</v>
      </c>
    </row>
    <row r="37" spans="1:13">
      <c r="A37" s="6">
        <v>45989</v>
      </c>
      <c r="B37" s="7" t="s">
        <v>429</v>
      </c>
      <c r="C37" s="7" t="s">
        <v>266</v>
      </c>
      <c r="D37" s="7" t="s">
        <v>501</v>
      </c>
      <c r="E37" s="7">
        <v>300</v>
      </c>
      <c r="F37" s="7">
        <v>6</v>
      </c>
      <c r="G37" s="7">
        <f t="shared" si="3"/>
        <v>1800</v>
      </c>
      <c r="H37" s="7" t="s">
        <v>441</v>
      </c>
      <c r="I37" s="7" t="s">
        <v>268</v>
      </c>
      <c r="J37" s="38" t="s">
        <v>176</v>
      </c>
      <c r="K37" s="10"/>
      <c r="L37" s="10"/>
      <c r="M37" s="10"/>
    </row>
    <row r="38" spans="1:13">
      <c r="A38" s="6">
        <v>45989</v>
      </c>
      <c r="B38" s="7" t="s">
        <v>429</v>
      </c>
      <c r="C38" s="7" t="s">
        <v>266</v>
      </c>
      <c r="D38" s="7" t="s">
        <v>502</v>
      </c>
      <c r="E38" s="7">
        <v>30</v>
      </c>
      <c r="F38" s="7">
        <v>6</v>
      </c>
      <c r="G38" s="7">
        <f t="shared" si="3"/>
        <v>180</v>
      </c>
      <c r="H38" s="7" t="s">
        <v>441</v>
      </c>
      <c r="I38" s="7" t="s">
        <v>268</v>
      </c>
      <c r="J38" s="38" t="s">
        <v>176</v>
      </c>
      <c r="K38" s="10"/>
      <c r="L38" s="10"/>
      <c r="M38" s="10"/>
    </row>
    <row r="39" spans="1:13">
      <c r="A39" s="6">
        <v>45989</v>
      </c>
      <c r="B39" s="7" t="s">
        <v>429</v>
      </c>
      <c r="C39" s="7" t="s">
        <v>266</v>
      </c>
      <c r="D39" s="7" t="s">
        <v>503</v>
      </c>
      <c r="E39" s="7">
        <v>50</v>
      </c>
      <c r="F39" s="7">
        <v>6</v>
      </c>
      <c r="G39" s="7">
        <f t="shared" si="3"/>
        <v>300</v>
      </c>
      <c r="H39" s="7" t="s">
        <v>441</v>
      </c>
      <c r="I39" s="7" t="s">
        <v>268</v>
      </c>
      <c r="J39" s="38" t="s">
        <v>176</v>
      </c>
      <c r="K39" s="10"/>
      <c r="L39" s="10"/>
      <c r="M39" s="10"/>
    </row>
    <row r="40" spans="1:13">
      <c r="A40" s="6">
        <v>45989</v>
      </c>
      <c r="B40" s="7" t="s">
        <v>429</v>
      </c>
      <c r="C40" s="7" t="s">
        <v>266</v>
      </c>
      <c r="D40" s="7" t="s">
        <v>270</v>
      </c>
      <c r="E40" s="7">
        <v>100</v>
      </c>
      <c r="F40" s="7">
        <v>6</v>
      </c>
      <c r="G40" s="7">
        <f t="shared" si="3"/>
        <v>600</v>
      </c>
      <c r="H40" s="7" t="s">
        <v>260</v>
      </c>
      <c r="I40" s="7" t="s">
        <v>268</v>
      </c>
      <c r="J40" s="38" t="s">
        <v>176</v>
      </c>
      <c r="K40" s="10"/>
      <c r="L40" s="10"/>
      <c r="M40" s="10"/>
    </row>
    <row r="41" spans="1:13">
      <c r="A41" s="6">
        <v>45989</v>
      </c>
      <c r="B41" s="7" t="s">
        <v>429</v>
      </c>
      <c r="C41" s="7" t="s">
        <v>266</v>
      </c>
      <c r="D41" s="7" t="s">
        <v>272</v>
      </c>
      <c r="E41" s="7">
        <v>100</v>
      </c>
      <c r="F41" s="7">
        <v>6</v>
      </c>
      <c r="G41" s="7">
        <f t="shared" si="3"/>
        <v>600</v>
      </c>
      <c r="H41" s="7" t="s">
        <v>260</v>
      </c>
      <c r="I41" s="7" t="s">
        <v>268</v>
      </c>
      <c r="J41" s="38" t="s">
        <v>176</v>
      </c>
      <c r="K41" s="10"/>
      <c r="L41" s="10"/>
      <c r="M41" s="10"/>
    </row>
    <row r="42" spans="1:13">
      <c r="A42" s="6">
        <v>45989</v>
      </c>
      <c r="B42" s="7" t="s">
        <v>429</v>
      </c>
      <c r="C42" s="7" t="s">
        <v>504</v>
      </c>
      <c r="D42" s="7" t="s">
        <v>505</v>
      </c>
      <c r="E42" s="7">
        <v>6</v>
      </c>
      <c r="F42" s="7">
        <v>6</v>
      </c>
      <c r="G42" s="7">
        <f t="shared" si="3"/>
        <v>36</v>
      </c>
      <c r="H42" s="7" t="s">
        <v>441</v>
      </c>
      <c r="I42" s="7" t="s">
        <v>506</v>
      </c>
      <c r="J42" s="38" t="s">
        <v>176</v>
      </c>
      <c r="K42" s="10"/>
      <c r="L42" s="10"/>
      <c r="M42" s="10"/>
    </row>
    <row r="43" spans="1:13">
      <c r="A43" s="6">
        <v>45989</v>
      </c>
      <c r="B43" s="7" t="s">
        <v>429</v>
      </c>
      <c r="C43" s="7" t="s">
        <v>504</v>
      </c>
      <c r="D43" s="7" t="s">
        <v>507</v>
      </c>
      <c r="E43" s="7">
        <v>6</v>
      </c>
      <c r="F43" s="7">
        <v>6</v>
      </c>
      <c r="G43" s="7">
        <f t="shared" si="3"/>
        <v>36</v>
      </c>
      <c r="H43" s="7" t="s">
        <v>441</v>
      </c>
      <c r="I43" s="7" t="s">
        <v>506</v>
      </c>
      <c r="J43" s="38" t="s">
        <v>176</v>
      </c>
      <c r="K43" s="10"/>
      <c r="L43" s="10"/>
      <c r="M43" s="10"/>
    </row>
    <row r="44" spans="1:13">
      <c r="A44" s="6">
        <v>45989</v>
      </c>
      <c r="B44" s="7" t="s">
        <v>429</v>
      </c>
      <c r="C44" s="7" t="s">
        <v>222</v>
      </c>
      <c r="D44" s="7">
        <v>1600280011</v>
      </c>
      <c r="E44" s="7">
        <v>1</v>
      </c>
      <c r="F44" s="7">
        <v>6</v>
      </c>
      <c r="G44" s="7">
        <f t="shared" si="3"/>
        <v>6</v>
      </c>
      <c r="H44" s="7" t="s">
        <v>185</v>
      </c>
      <c r="I44" s="7" t="s">
        <v>508</v>
      </c>
      <c r="J44" s="38" t="s">
        <v>176</v>
      </c>
      <c r="K44" s="10"/>
      <c r="L44" s="10"/>
      <c r="M44" s="10"/>
    </row>
    <row r="45" spans="1:13">
      <c r="A45" s="6">
        <v>45989</v>
      </c>
      <c r="B45" s="7" t="s">
        <v>429</v>
      </c>
      <c r="C45" s="7" t="s">
        <v>222</v>
      </c>
      <c r="D45" s="7" t="s">
        <v>509</v>
      </c>
      <c r="E45" s="7">
        <v>1</v>
      </c>
      <c r="F45" s="7">
        <v>6</v>
      </c>
      <c r="G45" s="7">
        <f t="shared" si="3"/>
        <v>6</v>
      </c>
      <c r="H45" s="7" t="s">
        <v>185</v>
      </c>
      <c r="I45" s="7" t="s">
        <v>494</v>
      </c>
      <c r="J45" s="38" t="s">
        <v>176</v>
      </c>
      <c r="K45" s="10"/>
      <c r="L45" s="10"/>
      <c r="M45" s="10"/>
    </row>
    <row r="46" spans="1:13">
      <c r="A46" s="6">
        <v>45989</v>
      </c>
      <c r="B46" s="7" t="s">
        <v>429</v>
      </c>
      <c r="C46" s="7" t="s">
        <v>222</v>
      </c>
      <c r="D46" s="7" t="s">
        <v>510</v>
      </c>
      <c r="E46" s="7">
        <v>1</v>
      </c>
      <c r="F46" s="7">
        <v>6</v>
      </c>
      <c r="G46" s="7">
        <f t="shared" si="3"/>
        <v>6</v>
      </c>
      <c r="H46" s="7" t="s">
        <v>185</v>
      </c>
      <c r="I46" s="7" t="s">
        <v>494</v>
      </c>
      <c r="J46" s="38" t="s">
        <v>176</v>
      </c>
      <c r="K46" s="10"/>
      <c r="L46" s="10"/>
      <c r="M46" s="10"/>
    </row>
    <row r="47" spans="1:13">
      <c r="A47" s="6">
        <v>45989</v>
      </c>
      <c r="B47" s="7" t="s">
        <v>429</v>
      </c>
      <c r="C47" s="7" t="s">
        <v>222</v>
      </c>
      <c r="D47" s="7" t="s">
        <v>511</v>
      </c>
      <c r="E47" s="7">
        <v>1</v>
      </c>
      <c r="F47" s="7">
        <v>6</v>
      </c>
      <c r="G47" s="7">
        <f t="shared" si="3"/>
        <v>6</v>
      </c>
      <c r="H47" s="7" t="s">
        <v>185</v>
      </c>
      <c r="I47" s="7" t="s">
        <v>494</v>
      </c>
      <c r="J47" s="38" t="s">
        <v>176</v>
      </c>
      <c r="K47" s="10"/>
      <c r="L47" s="10"/>
      <c r="M47" s="10"/>
    </row>
    <row r="48" spans="1:13">
      <c r="A48" s="6">
        <v>45989</v>
      </c>
      <c r="B48" s="7" t="s">
        <v>429</v>
      </c>
      <c r="C48" s="7" t="s">
        <v>512</v>
      </c>
      <c r="D48" s="7" t="s">
        <v>513</v>
      </c>
      <c r="E48" s="7">
        <v>1</v>
      </c>
      <c r="F48" s="7">
        <v>6</v>
      </c>
      <c r="G48" s="7">
        <f t="shared" si="3"/>
        <v>6</v>
      </c>
      <c r="H48" s="7" t="s">
        <v>185</v>
      </c>
      <c r="I48" s="7" t="s">
        <v>514</v>
      </c>
      <c r="J48" s="14" t="s">
        <v>176</v>
      </c>
      <c r="K48" s="10"/>
      <c r="L48" s="10"/>
      <c r="M48" s="10"/>
    </row>
    <row r="49" spans="1:13">
      <c r="A49" s="6">
        <v>45989</v>
      </c>
      <c r="B49" s="7" t="s">
        <v>429</v>
      </c>
      <c r="C49" s="7" t="s">
        <v>515</v>
      </c>
      <c r="D49" s="7" t="s">
        <v>516</v>
      </c>
      <c r="E49" s="7">
        <v>1</v>
      </c>
      <c r="F49" s="7">
        <v>6</v>
      </c>
      <c r="G49" s="7">
        <f t="shared" si="3"/>
        <v>6</v>
      </c>
      <c r="H49" s="7" t="s">
        <v>185</v>
      </c>
      <c r="I49" s="7" t="s">
        <v>514</v>
      </c>
      <c r="J49" s="14" t="s">
        <v>176</v>
      </c>
      <c r="K49" s="10"/>
      <c r="L49" s="10"/>
      <c r="M49" s="10"/>
    </row>
    <row r="50" spans="1:13">
      <c r="A50" s="6">
        <v>45989</v>
      </c>
      <c r="B50" s="7" t="s">
        <v>429</v>
      </c>
      <c r="C50" s="7" t="s">
        <v>517</v>
      </c>
      <c r="D50" s="7" t="s">
        <v>518</v>
      </c>
      <c r="E50" s="7">
        <v>120</v>
      </c>
      <c r="F50" s="7">
        <v>6</v>
      </c>
      <c r="G50" s="7">
        <f t="shared" si="3"/>
        <v>720</v>
      </c>
      <c r="H50" s="7" t="s">
        <v>185</v>
      </c>
      <c r="I50" s="7" t="s">
        <v>514</v>
      </c>
      <c r="J50" s="14" t="s">
        <v>176</v>
      </c>
      <c r="K50" s="10"/>
      <c r="L50" s="10"/>
      <c r="M50" s="10"/>
    </row>
    <row r="51" spans="1:13">
      <c r="A51" s="6">
        <v>45989</v>
      </c>
      <c r="B51" s="7" t="s">
        <v>429</v>
      </c>
      <c r="C51" s="7" t="s">
        <v>277</v>
      </c>
      <c r="D51" s="7" t="s">
        <v>519</v>
      </c>
      <c r="E51" s="7">
        <v>1</v>
      </c>
      <c r="F51" s="7">
        <v>6</v>
      </c>
      <c r="G51" s="7">
        <f t="shared" si="3"/>
        <v>6</v>
      </c>
      <c r="H51" s="7" t="s">
        <v>520</v>
      </c>
      <c r="I51" s="7" t="s">
        <v>313</v>
      </c>
      <c r="J51" s="14" t="s">
        <v>176</v>
      </c>
      <c r="K51" s="10"/>
      <c r="L51" s="10"/>
      <c r="M51" s="10"/>
    </row>
    <row r="52" spans="1:13">
      <c r="A52" s="6">
        <v>45989</v>
      </c>
      <c r="B52" s="7" t="s">
        <v>429</v>
      </c>
      <c r="C52" s="7" t="s">
        <v>521</v>
      </c>
      <c r="D52" s="7" t="s">
        <v>522</v>
      </c>
      <c r="E52" s="7">
        <v>15</v>
      </c>
      <c r="F52" s="7">
        <v>6</v>
      </c>
      <c r="G52" s="7">
        <f t="shared" si="3"/>
        <v>90</v>
      </c>
      <c r="H52" s="7" t="s">
        <v>260</v>
      </c>
      <c r="I52" s="7" t="s">
        <v>77</v>
      </c>
      <c r="J52" s="14" t="s">
        <v>176</v>
      </c>
      <c r="K52" s="10"/>
      <c r="L52" s="10"/>
      <c r="M52" s="10"/>
    </row>
    <row r="53" spans="1:13">
      <c r="A53" s="6">
        <v>45989</v>
      </c>
      <c r="B53" s="7" t="s">
        <v>429</v>
      </c>
      <c r="C53" s="7" t="s">
        <v>523</v>
      </c>
      <c r="D53" s="7" t="s">
        <v>524</v>
      </c>
      <c r="E53" s="7">
        <v>1</v>
      </c>
      <c r="F53" s="7">
        <v>6</v>
      </c>
      <c r="G53" s="7">
        <f t="shared" si="3"/>
        <v>6</v>
      </c>
      <c r="H53" s="7" t="s">
        <v>265</v>
      </c>
      <c r="I53" s="7" t="s">
        <v>494</v>
      </c>
      <c r="J53" s="38" t="s">
        <v>176</v>
      </c>
      <c r="K53" s="10"/>
      <c r="L53" s="10"/>
      <c r="M53" s="10"/>
    </row>
    <row r="54" spans="1:13">
      <c r="A54" s="6">
        <v>45989</v>
      </c>
      <c r="B54" s="7" t="s">
        <v>429</v>
      </c>
      <c r="C54" s="7" t="s">
        <v>523</v>
      </c>
      <c r="D54" s="7" t="s">
        <v>525</v>
      </c>
      <c r="E54" s="7">
        <v>1</v>
      </c>
      <c r="F54" s="7">
        <v>6</v>
      </c>
      <c r="G54" s="7">
        <f t="shared" si="3"/>
        <v>6</v>
      </c>
      <c r="H54" s="7" t="s">
        <v>265</v>
      </c>
      <c r="I54" s="7" t="s">
        <v>494</v>
      </c>
      <c r="J54" s="38" t="s">
        <v>176</v>
      </c>
      <c r="K54" s="10"/>
      <c r="L54" s="10"/>
      <c r="M54" s="10"/>
    </row>
    <row r="55" spans="1:13">
      <c r="A55" s="6">
        <v>45989</v>
      </c>
      <c r="B55" s="7" t="s">
        <v>429</v>
      </c>
      <c r="C55" s="7" t="s">
        <v>523</v>
      </c>
      <c r="D55" s="7" t="s">
        <v>526</v>
      </c>
      <c r="E55" s="7">
        <v>1</v>
      </c>
      <c r="F55" s="7">
        <v>6</v>
      </c>
      <c r="G55" s="7">
        <f t="shared" si="3"/>
        <v>6</v>
      </c>
      <c r="H55" s="7" t="s">
        <v>265</v>
      </c>
      <c r="I55" s="7" t="s">
        <v>494</v>
      </c>
      <c r="J55" s="38" t="s">
        <v>176</v>
      </c>
      <c r="K55" s="10"/>
      <c r="L55" s="10"/>
      <c r="M55" s="10"/>
    </row>
    <row r="56" spans="1:13">
      <c r="A56" s="6">
        <v>45989</v>
      </c>
      <c r="B56" s="7" t="s">
        <v>429</v>
      </c>
      <c r="C56" s="7" t="s">
        <v>523</v>
      </c>
      <c r="D56" s="7" t="s">
        <v>527</v>
      </c>
      <c r="E56" s="7">
        <v>1</v>
      </c>
      <c r="F56" s="7">
        <v>6</v>
      </c>
      <c r="G56" s="7">
        <f t="shared" si="3"/>
        <v>6</v>
      </c>
      <c r="H56" s="7" t="s">
        <v>265</v>
      </c>
      <c r="I56" s="7" t="s">
        <v>494</v>
      </c>
      <c r="J56" s="38" t="s">
        <v>176</v>
      </c>
      <c r="K56" s="10"/>
      <c r="L56" s="10"/>
      <c r="M56" s="10"/>
    </row>
    <row r="57" spans="1:13">
      <c r="A57" s="6">
        <v>45989</v>
      </c>
      <c r="B57" s="7" t="s">
        <v>429</v>
      </c>
      <c r="C57" s="7" t="s">
        <v>528</v>
      </c>
      <c r="D57" s="7" t="s">
        <v>529</v>
      </c>
      <c r="E57" s="7">
        <v>1</v>
      </c>
      <c r="F57" s="7">
        <v>6</v>
      </c>
      <c r="G57" s="7">
        <f t="shared" si="3"/>
        <v>6</v>
      </c>
      <c r="H57" s="7" t="s">
        <v>185</v>
      </c>
      <c r="I57" s="7" t="s">
        <v>530</v>
      </c>
      <c r="J57" s="38" t="s">
        <v>176</v>
      </c>
      <c r="K57" s="12"/>
      <c r="L57" s="12"/>
      <c r="M57" s="12"/>
    </row>
    <row r="58" spans="1:13">
      <c r="A58" s="6">
        <v>46062</v>
      </c>
      <c r="B58" s="7" t="s">
        <v>429</v>
      </c>
      <c r="C58" s="7" t="s">
        <v>531</v>
      </c>
      <c r="D58" s="7" t="s">
        <v>443</v>
      </c>
      <c r="E58" s="7">
        <v>600</v>
      </c>
      <c r="F58" s="7">
        <v>62</v>
      </c>
      <c r="G58" s="7">
        <f t="shared" ref="G58:G79" si="4">E58*F58</f>
        <v>37200</v>
      </c>
      <c r="H58" s="7" t="s">
        <v>441</v>
      </c>
      <c r="I58" s="7" t="s">
        <v>442</v>
      </c>
      <c r="J58" s="40" t="s">
        <v>162</v>
      </c>
      <c r="K58" s="7"/>
      <c r="L58" s="7"/>
      <c r="M58" s="7"/>
    </row>
    <row r="59" spans="1:13">
      <c r="A59" s="6">
        <v>46062</v>
      </c>
      <c r="B59" s="7" t="s">
        <v>429</v>
      </c>
      <c r="C59" s="7" t="s">
        <v>531</v>
      </c>
      <c r="D59" s="7" t="s">
        <v>440</v>
      </c>
      <c r="E59" s="7">
        <v>200</v>
      </c>
      <c r="F59" s="7">
        <v>62</v>
      </c>
      <c r="G59" s="7">
        <f t="shared" si="4"/>
        <v>12400</v>
      </c>
      <c r="H59" s="7" t="s">
        <v>441</v>
      </c>
      <c r="I59" s="7" t="s">
        <v>442</v>
      </c>
      <c r="J59" s="41"/>
      <c r="K59" s="7"/>
      <c r="L59" s="7"/>
      <c r="M59" s="7"/>
    </row>
    <row r="60" spans="1:13">
      <c r="A60" s="6">
        <v>46062</v>
      </c>
      <c r="B60" s="7" t="s">
        <v>429</v>
      </c>
      <c r="C60" s="7" t="s">
        <v>504</v>
      </c>
      <c r="D60" s="7" t="s">
        <v>505</v>
      </c>
      <c r="E60" s="7">
        <v>7</v>
      </c>
      <c r="F60" s="7">
        <v>62</v>
      </c>
      <c r="G60" s="7">
        <f t="shared" si="4"/>
        <v>434</v>
      </c>
      <c r="H60" s="7" t="s">
        <v>441</v>
      </c>
      <c r="I60" s="7" t="s">
        <v>506</v>
      </c>
      <c r="J60" s="14" t="s">
        <v>176</v>
      </c>
      <c r="K60" s="7"/>
      <c r="L60" s="7"/>
      <c r="M60" s="7"/>
    </row>
    <row r="61" spans="1:13">
      <c r="A61" s="6">
        <v>46062</v>
      </c>
      <c r="B61" s="7" t="s">
        <v>429</v>
      </c>
      <c r="C61" s="7" t="s">
        <v>504</v>
      </c>
      <c r="D61" s="7" t="s">
        <v>507</v>
      </c>
      <c r="E61" s="7">
        <v>7</v>
      </c>
      <c r="F61" s="7">
        <v>62</v>
      </c>
      <c r="G61" s="7">
        <f t="shared" si="4"/>
        <v>434</v>
      </c>
      <c r="H61" s="7" t="s">
        <v>441</v>
      </c>
      <c r="I61" s="7" t="s">
        <v>506</v>
      </c>
      <c r="J61" s="14" t="s">
        <v>176</v>
      </c>
      <c r="K61" s="7"/>
      <c r="L61" s="7"/>
      <c r="M61" s="7"/>
    </row>
    <row r="62" spans="1:13">
      <c r="A62" s="6">
        <v>46062</v>
      </c>
      <c r="B62" s="7" t="s">
        <v>429</v>
      </c>
      <c r="C62" s="7" t="s">
        <v>222</v>
      </c>
      <c r="D62" s="7" t="s">
        <v>509</v>
      </c>
      <c r="E62" s="7">
        <v>1</v>
      </c>
      <c r="F62" s="7">
        <v>62</v>
      </c>
      <c r="G62" s="7">
        <f t="shared" si="4"/>
        <v>62</v>
      </c>
      <c r="H62" s="7" t="s">
        <v>185</v>
      </c>
      <c r="I62" s="7" t="s">
        <v>494</v>
      </c>
      <c r="J62" s="14" t="s">
        <v>176</v>
      </c>
      <c r="K62" s="7"/>
      <c r="L62" s="7"/>
      <c r="M62" s="7"/>
    </row>
    <row r="63" spans="1:13">
      <c r="A63" s="6">
        <v>46062</v>
      </c>
      <c r="B63" s="7" t="s">
        <v>429</v>
      </c>
      <c r="C63" s="7" t="s">
        <v>222</v>
      </c>
      <c r="D63" s="7" t="s">
        <v>493</v>
      </c>
      <c r="E63" s="7">
        <v>1</v>
      </c>
      <c r="F63" s="7">
        <v>62</v>
      </c>
      <c r="G63" s="7">
        <f t="shared" si="4"/>
        <v>62</v>
      </c>
      <c r="H63" s="7" t="s">
        <v>142</v>
      </c>
      <c r="I63" s="7" t="s">
        <v>494</v>
      </c>
      <c r="J63" s="14" t="s">
        <v>176</v>
      </c>
      <c r="K63" s="7"/>
      <c r="L63" s="7"/>
      <c r="M63" s="7"/>
    </row>
    <row r="64" spans="1:13">
      <c r="A64" s="6">
        <v>46062</v>
      </c>
      <c r="B64" s="7" t="s">
        <v>429</v>
      </c>
      <c r="C64" s="7" t="s">
        <v>222</v>
      </c>
      <c r="D64" s="7">
        <v>1600280011</v>
      </c>
      <c r="E64" s="7">
        <v>1</v>
      </c>
      <c r="F64" s="7">
        <v>62</v>
      </c>
      <c r="G64" s="7">
        <f t="shared" si="4"/>
        <v>62</v>
      </c>
      <c r="H64" s="7" t="s">
        <v>185</v>
      </c>
      <c r="I64" s="7" t="s">
        <v>487</v>
      </c>
      <c r="J64" s="14" t="s">
        <v>176</v>
      </c>
      <c r="K64" s="7"/>
      <c r="L64" s="7"/>
      <c r="M64" s="7"/>
    </row>
    <row r="65" spans="1:13">
      <c r="A65" s="6">
        <v>46062</v>
      </c>
      <c r="B65" s="7" t="s">
        <v>429</v>
      </c>
      <c r="C65" s="7" t="s">
        <v>222</v>
      </c>
      <c r="D65" s="7" t="s">
        <v>497</v>
      </c>
      <c r="E65" s="7">
        <v>1</v>
      </c>
      <c r="F65" s="7">
        <v>62</v>
      </c>
      <c r="G65" s="7">
        <f t="shared" si="4"/>
        <v>62</v>
      </c>
      <c r="H65" s="7" t="s">
        <v>142</v>
      </c>
      <c r="I65" s="7" t="s">
        <v>494</v>
      </c>
      <c r="J65" s="14" t="s">
        <v>176</v>
      </c>
      <c r="K65" s="7"/>
      <c r="L65" s="7"/>
      <c r="M65" s="7"/>
    </row>
    <row r="66" spans="1:13">
      <c r="A66" s="6">
        <v>46062</v>
      </c>
      <c r="B66" s="7" t="s">
        <v>429</v>
      </c>
      <c r="C66" s="7" t="s">
        <v>532</v>
      </c>
      <c r="D66" s="7" t="s">
        <v>533</v>
      </c>
      <c r="E66" s="7">
        <v>1</v>
      </c>
      <c r="F66" s="7">
        <v>62</v>
      </c>
      <c r="G66" s="7">
        <f t="shared" si="4"/>
        <v>62</v>
      </c>
      <c r="H66" s="7" t="s">
        <v>142</v>
      </c>
      <c r="I66" s="7" t="s">
        <v>494</v>
      </c>
      <c r="J66" s="14" t="s">
        <v>176</v>
      </c>
      <c r="K66" s="7"/>
      <c r="L66" s="7"/>
      <c r="M66" s="7"/>
    </row>
    <row r="67" spans="1:13">
      <c r="A67" s="6">
        <v>46062</v>
      </c>
      <c r="B67" s="7" t="s">
        <v>429</v>
      </c>
      <c r="C67" s="7" t="s">
        <v>222</v>
      </c>
      <c r="D67" s="7" t="s">
        <v>511</v>
      </c>
      <c r="E67" s="7">
        <v>1</v>
      </c>
      <c r="F67" s="7">
        <v>62</v>
      </c>
      <c r="G67" s="7">
        <f t="shared" si="4"/>
        <v>62</v>
      </c>
      <c r="H67" s="7" t="s">
        <v>185</v>
      </c>
      <c r="I67" s="7" t="s">
        <v>494</v>
      </c>
      <c r="J67" s="14" t="s">
        <v>176</v>
      </c>
      <c r="K67" s="7"/>
      <c r="L67" s="7"/>
      <c r="M67" s="7"/>
    </row>
    <row r="68" spans="1:13">
      <c r="A68" s="6">
        <v>46062</v>
      </c>
      <c r="B68" s="7" t="s">
        <v>429</v>
      </c>
      <c r="C68" s="7" t="s">
        <v>243</v>
      </c>
      <c r="D68" s="7" t="s">
        <v>498</v>
      </c>
      <c r="E68" s="7">
        <v>304</v>
      </c>
      <c r="F68" s="7">
        <v>62</v>
      </c>
      <c r="G68" s="7">
        <f t="shared" si="4"/>
        <v>18848</v>
      </c>
      <c r="H68" s="7" t="s">
        <v>171</v>
      </c>
      <c r="I68" s="7" t="s">
        <v>494</v>
      </c>
      <c r="J68" s="14" t="s">
        <v>176</v>
      </c>
      <c r="K68" s="7"/>
      <c r="L68" s="7"/>
      <c r="M68" s="7"/>
    </row>
    <row r="69" spans="1:13">
      <c r="A69" s="6">
        <v>46062</v>
      </c>
      <c r="B69" s="7" t="s">
        <v>429</v>
      </c>
      <c r="C69" s="7" t="s">
        <v>243</v>
      </c>
      <c r="D69" s="7" t="s">
        <v>499</v>
      </c>
      <c r="E69" s="7">
        <v>35</v>
      </c>
      <c r="F69" s="7">
        <v>62</v>
      </c>
      <c r="G69" s="7">
        <f t="shared" si="4"/>
        <v>2170</v>
      </c>
      <c r="H69" s="7" t="s">
        <v>185</v>
      </c>
      <c r="I69" s="7" t="s">
        <v>494</v>
      </c>
      <c r="J69" s="14" t="s">
        <v>176</v>
      </c>
      <c r="K69" s="7"/>
      <c r="L69" s="7"/>
      <c r="M69" s="7"/>
    </row>
    <row r="70" spans="1:13">
      <c r="A70" s="6">
        <v>46062</v>
      </c>
      <c r="B70" s="7" t="s">
        <v>429</v>
      </c>
      <c r="C70" s="7" t="s">
        <v>534</v>
      </c>
      <c r="D70" s="7" t="s">
        <v>535</v>
      </c>
      <c r="E70" s="7">
        <v>1</v>
      </c>
      <c r="F70" s="7">
        <v>62</v>
      </c>
      <c r="G70" s="7">
        <f t="shared" si="4"/>
        <v>62</v>
      </c>
      <c r="H70" s="7" t="s">
        <v>77</v>
      </c>
      <c r="I70" s="7" t="s">
        <v>171</v>
      </c>
      <c r="J70" s="14" t="s">
        <v>176</v>
      </c>
      <c r="K70" s="7"/>
      <c r="L70" s="7"/>
      <c r="M70" s="7"/>
    </row>
    <row r="71" spans="1:13">
      <c r="A71" s="6">
        <v>46062</v>
      </c>
      <c r="B71" s="7" t="s">
        <v>429</v>
      </c>
      <c r="C71" s="7" t="s">
        <v>512</v>
      </c>
      <c r="D71" s="7" t="s">
        <v>513</v>
      </c>
      <c r="E71" s="7">
        <v>1</v>
      </c>
      <c r="F71" s="7">
        <v>62</v>
      </c>
      <c r="G71" s="7">
        <f t="shared" si="4"/>
        <v>62</v>
      </c>
      <c r="H71" s="7" t="s">
        <v>185</v>
      </c>
      <c r="I71" s="7" t="s">
        <v>514</v>
      </c>
      <c r="J71" s="14" t="s">
        <v>176</v>
      </c>
      <c r="K71" s="7"/>
      <c r="L71" s="7"/>
      <c r="M71" s="7"/>
    </row>
    <row r="72" spans="1:13">
      <c r="A72" s="6">
        <v>46062</v>
      </c>
      <c r="B72" s="7" t="s">
        <v>429</v>
      </c>
      <c r="C72" s="7" t="s">
        <v>515</v>
      </c>
      <c r="D72" s="7" t="s">
        <v>516</v>
      </c>
      <c r="E72" s="7">
        <v>1</v>
      </c>
      <c r="F72" s="7">
        <v>62</v>
      </c>
      <c r="G72" s="7">
        <f t="shared" si="4"/>
        <v>62</v>
      </c>
      <c r="H72" s="7" t="s">
        <v>185</v>
      </c>
      <c r="I72" s="7" t="s">
        <v>514</v>
      </c>
      <c r="J72" s="14" t="s">
        <v>176</v>
      </c>
      <c r="K72" s="7"/>
      <c r="L72" s="7"/>
      <c r="M72" s="7"/>
    </row>
    <row r="73" spans="1:13">
      <c r="A73" s="6">
        <v>46062</v>
      </c>
      <c r="B73" s="7" t="s">
        <v>429</v>
      </c>
      <c r="C73" s="7" t="s">
        <v>517</v>
      </c>
      <c r="D73" s="7" t="s">
        <v>518</v>
      </c>
      <c r="E73" s="7">
        <v>120</v>
      </c>
      <c r="F73" s="7">
        <v>62</v>
      </c>
      <c r="G73" s="7">
        <f t="shared" si="4"/>
        <v>7440</v>
      </c>
      <c r="H73" s="7" t="s">
        <v>185</v>
      </c>
      <c r="I73" s="7" t="s">
        <v>514</v>
      </c>
      <c r="J73" s="14" t="s">
        <v>176</v>
      </c>
      <c r="K73" s="7"/>
      <c r="L73" s="7"/>
      <c r="M73" s="7"/>
    </row>
    <row r="74" spans="1:13">
      <c r="A74" s="6">
        <v>46062</v>
      </c>
      <c r="B74" s="7" t="s">
        <v>429</v>
      </c>
      <c r="C74" s="7" t="s">
        <v>536</v>
      </c>
      <c r="D74" s="7" t="s">
        <v>537</v>
      </c>
      <c r="E74" s="7">
        <v>1</v>
      </c>
      <c r="F74" s="7">
        <v>62</v>
      </c>
      <c r="G74" s="7">
        <f t="shared" si="4"/>
        <v>62</v>
      </c>
      <c r="H74" s="7" t="s">
        <v>185</v>
      </c>
      <c r="I74" s="7" t="s">
        <v>280</v>
      </c>
      <c r="J74" s="14" t="s">
        <v>176</v>
      </c>
      <c r="K74" s="7"/>
      <c r="L74" s="7"/>
      <c r="M74" s="7"/>
    </row>
    <row r="75" spans="1:13">
      <c r="A75" s="6">
        <v>46062</v>
      </c>
      <c r="B75" s="7" t="s">
        <v>429</v>
      </c>
      <c r="C75" s="7" t="s">
        <v>523</v>
      </c>
      <c r="D75" s="7" t="s">
        <v>524</v>
      </c>
      <c r="E75" s="7">
        <v>1</v>
      </c>
      <c r="F75" s="7">
        <v>62</v>
      </c>
      <c r="G75" s="7">
        <f t="shared" si="4"/>
        <v>62</v>
      </c>
      <c r="H75" s="7" t="s">
        <v>265</v>
      </c>
      <c r="I75" s="7" t="s">
        <v>494</v>
      </c>
      <c r="J75" s="14" t="s">
        <v>176</v>
      </c>
      <c r="K75" s="7"/>
      <c r="L75" s="7"/>
      <c r="M75" s="7"/>
    </row>
    <row r="76" spans="1:13">
      <c r="A76" s="6">
        <v>46062</v>
      </c>
      <c r="B76" s="7" t="s">
        <v>429</v>
      </c>
      <c r="C76" s="7" t="s">
        <v>523</v>
      </c>
      <c r="D76" s="7" t="s">
        <v>525</v>
      </c>
      <c r="E76" s="7">
        <v>1</v>
      </c>
      <c r="F76" s="7">
        <v>62</v>
      </c>
      <c r="G76" s="7">
        <f t="shared" si="4"/>
        <v>62</v>
      </c>
      <c r="H76" s="7" t="s">
        <v>265</v>
      </c>
      <c r="I76" s="7" t="s">
        <v>494</v>
      </c>
      <c r="J76" s="14" t="s">
        <v>176</v>
      </c>
      <c r="K76" s="7"/>
      <c r="L76" s="7"/>
      <c r="M76" s="7"/>
    </row>
    <row r="77" spans="1:13">
      <c r="A77" s="6">
        <v>46062</v>
      </c>
      <c r="B77" s="7" t="s">
        <v>429</v>
      </c>
      <c r="C77" s="7" t="s">
        <v>523</v>
      </c>
      <c r="D77" s="7" t="s">
        <v>526</v>
      </c>
      <c r="E77" s="7">
        <v>1</v>
      </c>
      <c r="F77" s="7">
        <v>62</v>
      </c>
      <c r="G77" s="7">
        <f t="shared" si="4"/>
        <v>62</v>
      </c>
      <c r="H77" s="7" t="s">
        <v>265</v>
      </c>
      <c r="I77" s="7" t="s">
        <v>494</v>
      </c>
      <c r="J77" s="14" t="s">
        <v>176</v>
      </c>
      <c r="K77" s="7"/>
      <c r="L77" s="7"/>
      <c r="M77" s="7"/>
    </row>
    <row r="78" spans="1:13">
      <c r="A78" s="6">
        <v>46062</v>
      </c>
      <c r="B78" s="7" t="s">
        <v>429</v>
      </c>
      <c r="C78" s="7" t="s">
        <v>523</v>
      </c>
      <c r="D78" s="7" t="s">
        <v>527</v>
      </c>
      <c r="E78" s="7">
        <v>1</v>
      </c>
      <c r="F78" s="7">
        <v>62</v>
      </c>
      <c r="G78" s="7">
        <f t="shared" si="4"/>
        <v>62</v>
      </c>
      <c r="H78" s="7" t="s">
        <v>265</v>
      </c>
      <c r="I78" s="7" t="s">
        <v>494</v>
      </c>
      <c r="J78" s="14" t="s">
        <v>176</v>
      </c>
      <c r="K78" s="7"/>
      <c r="L78" s="7"/>
      <c r="M78" s="7"/>
    </row>
    <row r="79" spans="1:13">
      <c r="A79" s="6">
        <v>46062</v>
      </c>
      <c r="B79" s="7" t="s">
        <v>429</v>
      </c>
      <c r="C79" s="7" t="s">
        <v>528</v>
      </c>
      <c r="D79" s="7" t="s">
        <v>529</v>
      </c>
      <c r="E79" s="7">
        <v>1</v>
      </c>
      <c r="F79" s="7">
        <v>62</v>
      </c>
      <c r="G79" s="7">
        <f t="shared" si="4"/>
        <v>62</v>
      </c>
      <c r="H79" s="7" t="s">
        <v>185</v>
      </c>
      <c r="I79" s="7" t="s">
        <v>530</v>
      </c>
      <c r="J79" s="14" t="s">
        <v>176</v>
      </c>
      <c r="K79" s="7"/>
      <c r="L79" s="7"/>
      <c r="M79" s="7"/>
    </row>
    <row r="80" spans="1:13">
      <c r="A80" s="6">
        <v>46098</v>
      </c>
      <c r="B80" s="7" t="s">
        <v>429</v>
      </c>
      <c r="C80" s="7" t="s">
        <v>538</v>
      </c>
      <c r="D80" s="7" t="s">
        <v>539</v>
      </c>
      <c r="E80" s="7">
        <v>1</v>
      </c>
      <c r="F80" s="7">
        <v>1</v>
      </c>
      <c r="G80" s="7">
        <v>1</v>
      </c>
      <c r="H80" s="7" t="s">
        <v>540</v>
      </c>
      <c r="I80" s="7" t="s">
        <v>227</v>
      </c>
      <c r="J80" s="14" t="s">
        <v>176</v>
      </c>
      <c r="K80" s="7"/>
      <c r="L80" s="7"/>
      <c r="M80" s="7"/>
    </row>
    <row r="81" spans="1:13">
      <c r="A81" s="6">
        <v>45965</v>
      </c>
      <c r="B81" s="7" t="s">
        <v>429</v>
      </c>
      <c r="C81" s="7" t="s">
        <v>541</v>
      </c>
      <c r="D81" s="7" t="s">
        <v>542</v>
      </c>
      <c r="E81" s="7">
        <v>26</v>
      </c>
      <c r="F81" s="7">
        <v>62</v>
      </c>
      <c r="G81" s="7">
        <v>2</v>
      </c>
      <c r="H81" s="7" t="s">
        <v>446</v>
      </c>
      <c r="I81" s="7" t="s">
        <v>77</v>
      </c>
      <c r="J81" s="14" t="s">
        <v>176</v>
      </c>
      <c r="K81" s="35">
        <v>46365</v>
      </c>
      <c r="L81" s="8"/>
      <c r="M81" s="8" t="s">
        <v>183</v>
      </c>
    </row>
    <row r="82" spans="1:13">
      <c r="A82" s="6">
        <v>45965</v>
      </c>
      <c r="B82" s="7" t="s">
        <v>429</v>
      </c>
      <c r="C82" s="7" t="s">
        <v>543</v>
      </c>
      <c r="D82" s="7" t="s">
        <v>544</v>
      </c>
      <c r="E82" s="7">
        <v>26</v>
      </c>
      <c r="F82" s="7">
        <v>62</v>
      </c>
      <c r="G82" s="7">
        <v>3</v>
      </c>
      <c r="H82" s="7" t="s">
        <v>265</v>
      </c>
      <c r="I82" s="7" t="s">
        <v>545</v>
      </c>
      <c r="J82" s="14" t="s">
        <v>176</v>
      </c>
      <c r="K82" s="10"/>
      <c r="L82" s="10"/>
      <c r="M82" s="10"/>
    </row>
    <row r="83" spans="1:13">
      <c r="A83" s="6">
        <v>45965</v>
      </c>
      <c r="B83" s="7" t="s">
        <v>429</v>
      </c>
      <c r="C83" s="7" t="s">
        <v>444</v>
      </c>
      <c r="D83" s="7" t="s">
        <v>546</v>
      </c>
      <c r="E83" s="7">
        <v>42</v>
      </c>
      <c r="F83" s="7">
        <v>62</v>
      </c>
      <c r="G83" s="7">
        <v>4</v>
      </c>
      <c r="H83" s="7" t="s">
        <v>185</v>
      </c>
      <c r="I83" s="7" t="s">
        <v>468</v>
      </c>
      <c r="J83" s="14" t="s">
        <v>176</v>
      </c>
      <c r="K83" s="10"/>
      <c r="L83" s="10"/>
      <c r="M83" s="10"/>
    </row>
    <row r="84" spans="1:13">
      <c r="A84" s="6">
        <v>45965</v>
      </c>
      <c r="B84" s="7" t="s">
        <v>429</v>
      </c>
      <c r="C84" s="7" t="s">
        <v>444</v>
      </c>
      <c r="D84" s="7" t="s">
        <v>453</v>
      </c>
      <c r="E84" s="7">
        <v>3</v>
      </c>
      <c r="F84" s="7">
        <v>62</v>
      </c>
      <c r="G84" s="7">
        <v>5</v>
      </c>
      <c r="H84" s="7" t="s">
        <v>454</v>
      </c>
      <c r="I84" s="7" t="s">
        <v>77</v>
      </c>
      <c r="J84" s="14" t="s">
        <v>176</v>
      </c>
      <c r="K84" s="10"/>
      <c r="L84" s="10"/>
      <c r="M84" s="10"/>
    </row>
    <row r="85" spans="1:13">
      <c r="A85" s="6">
        <v>45965</v>
      </c>
      <c r="B85" s="7" t="s">
        <v>429</v>
      </c>
      <c r="C85" s="7" t="s">
        <v>451</v>
      </c>
      <c r="D85" s="7" t="s">
        <v>547</v>
      </c>
      <c r="E85" s="7">
        <v>5</v>
      </c>
      <c r="F85" s="7">
        <v>62</v>
      </c>
      <c r="G85" s="7">
        <v>6</v>
      </c>
      <c r="H85" s="7" t="s">
        <v>265</v>
      </c>
      <c r="I85" s="7" t="s">
        <v>476</v>
      </c>
      <c r="J85" s="14" t="s">
        <v>176</v>
      </c>
      <c r="K85" s="10"/>
      <c r="L85" s="10"/>
      <c r="M85" s="10"/>
    </row>
    <row r="86" spans="1:13">
      <c r="A86" s="6">
        <v>45965</v>
      </c>
      <c r="B86" s="7" t="s">
        <v>429</v>
      </c>
      <c r="C86" s="7" t="s">
        <v>548</v>
      </c>
      <c r="D86" s="7" t="s">
        <v>549</v>
      </c>
      <c r="E86" s="7">
        <v>20</v>
      </c>
      <c r="F86" s="7">
        <v>62</v>
      </c>
      <c r="G86" s="7">
        <v>7</v>
      </c>
      <c r="H86" s="7" t="s">
        <v>265</v>
      </c>
      <c r="I86" s="7" t="s">
        <v>545</v>
      </c>
      <c r="J86" s="14" t="s">
        <v>176</v>
      </c>
      <c r="K86" s="10"/>
      <c r="L86" s="10"/>
      <c r="M86" s="10"/>
    </row>
    <row r="87" spans="1:13">
      <c r="A87" s="6">
        <v>45965</v>
      </c>
      <c r="B87" s="7" t="s">
        <v>429</v>
      </c>
      <c r="C87" s="7" t="s">
        <v>550</v>
      </c>
      <c r="D87" s="7" t="s">
        <v>551</v>
      </c>
      <c r="E87" s="7">
        <v>1</v>
      </c>
      <c r="F87" s="7">
        <v>62</v>
      </c>
      <c r="G87" s="7">
        <v>8</v>
      </c>
      <c r="H87" s="7" t="s">
        <v>265</v>
      </c>
      <c r="I87" s="7" t="s">
        <v>310</v>
      </c>
      <c r="J87" s="14" t="s">
        <v>176</v>
      </c>
      <c r="K87" s="10"/>
      <c r="L87" s="10"/>
      <c r="M87" s="10"/>
    </row>
    <row r="88" spans="1:13">
      <c r="A88" s="6">
        <v>45965</v>
      </c>
      <c r="B88" s="7" t="s">
        <v>429</v>
      </c>
      <c r="C88" s="7" t="s">
        <v>461</v>
      </c>
      <c r="D88" s="7" t="s">
        <v>462</v>
      </c>
      <c r="E88" s="7">
        <v>1</v>
      </c>
      <c r="F88" s="7">
        <v>62</v>
      </c>
      <c r="G88" s="7">
        <v>9</v>
      </c>
      <c r="H88" s="7" t="s">
        <v>265</v>
      </c>
      <c r="I88" s="7" t="s">
        <v>463</v>
      </c>
      <c r="J88" s="14" t="s">
        <v>176</v>
      </c>
      <c r="K88" s="10"/>
      <c r="L88" s="10"/>
      <c r="M88" s="10"/>
    </row>
    <row r="89" spans="1:13">
      <c r="A89" s="6">
        <v>45965</v>
      </c>
      <c r="B89" s="7" t="s">
        <v>429</v>
      </c>
      <c r="C89" s="7" t="s">
        <v>552</v>
      </c>
      <c r="D89" s="7" t="s">
        <v>553</v>
      </c>
      <c r="E89" s="7">
        <v>1</v>
      </c>
      <c r="F89" s="7">
        <v>62</v>
      </c>
      <c r="G89" s="7">
        <v>10</v>
      </c>
      <c r="H89" s="7" t="s">
        <v>265</v>
      </c>
      <c r="I89" s="7" t="s">
        <v>457</v>
      </c>
      <c r="J89" s="14" t="s">
        <v>176</v>
      </c>
      <c r="K89" s="10"/>
      <c r="L89" s="10"/>
      <c r="M89" s="10"/>
    </row>
    <row r="90" spans="1:13">
      <c r="A90" s="6">
        <v>45965</v>
      </c>
      <c r="B90" s="7" t="s">
        <v>429</v>
      </c>
      <c r="C90" s="7" t="s">
        <v>554</v>
      </c>
      <c r="D90" s="7" t="s">
        <v>555</v>
      </c>
      <c r="E90" s="7">
        <v>1</v>
      </c>
      <c r="F90" s="7">
        <v>62</v>
      </c>
      <c r="G90" s="7">
        <v>11</v>
      </c>
      <c r="H90" s="7" t="s">
        <v>265</v>
      </c>
      <c r="I90" s="7" t="s">
        <v>556</v>
      </c>
      <c r="J90" s="14" t="s">
        <v>176</v>
      </c>
      <c r="K90" s="10"/>
      <c r="L90" s="10"/>
      <c r="M90" s="10"/>
    </row>
    <row r="91" spans="1:13">
      <c r="A91" s="6">
        <v>45965</v>
      </c>
      <c r="B91" s="7" t="s">
        <v>429</v>
      </c>
      <c r="C91" s="7" t="s">
        <v>466</v>
      </c>
      <c r="D91" s="7" t="s">
        <v>557</v>
      </c>
      <c r="E91" s="7">
        <v>32</v>
      </c>
      <c r="F91" s="7">
        <v>62</v>
      </c>
      <c r="G91" s="7">
        <v>12</v>
      </c>
      <c r="H91" s="7" t="s">
        <v>185</v>
      </c>
      <c r="I91" s="7" t="s">
        <v>558</v>
      </c>
      <c r="J91" s="14" t="s">
        <v>176</v>
      </c>
      <c r="K91" s="10"/>
      <c r="L91" s="10"/>
      <c r="M91" s="10"/>
    </row>
    <row r="92" spans="1:13">
      <c r="A92" s="6">
        <v>45965</v>
      </c>
      <c r="B92" s="7" t="s">
        <v>429</v>
      </c>
      <c r="C92" s="7" t="s">
        <v>466</v>
      </c>
      <c r="D92" s="7" t="s">
        <v>559</v>
      </c>
      <c r="E92" s="7">
        <v>26</v>
      </c>
      <c r="F92" s="7">
        <v>62</v>
      </c>
      <c r="G92" s="7">
        <v>13</v>
      </c>
      <c r="H92" s="7" t="s">
        <v>185</v>
      </c>
      <c r="I92" s="7" t="s">
        <v>560</v>
      </c>
      <c r="J92" s="14" t="s">
        <v>176</v>
      </c>
      <c r="K92" s="10"/>
      <c r="L92" s="10"/>
      <c r="M92" s="10"/>
    </row>
    <row r="93" spans="1:13">
      <c r="A93" s="6">
        <v>45965</v>
      </c>
      <c r="B93" s="7" t="s">
        <v>429</v>
      </c>
      <c r="C93" s="7" t="s">
        <v>466</v>
      </c>
      <c r="D93" s="7" t="s">
        <v>469</v>
      </c>
      <c r="E93" s="7">
        <v>6</v>
      </c>
      <c r="F93" s="7">
        <v>62</v>
      </c>
      <c r="G93" s="7">
        <v>14</v>
      </c>
      <c r="H93" s="7" t="s">
        <v>454</v>
      </c>
      <c r="I93" s="7" t="s">
        <v>77</v>
      </c>
      <c r="J93" s="14" t="s">
        <v>176</v>
      </c>
      <c r="K93" s="10"/>
      <c r="L93" s="10"/>
      <c r="M93" s="10"/>
    </row>
    <row r="94" spans="1:13">
      <c r="A94" s="6">
        <v>45965</v>
      </c>
      <c r="B94" s="7" t="s">
        <v>429</v>
      </c>
      <c r="C94" s="7" t="s">
        <v>466</v>
      </c>
      <c r="D94" s="7" t="s">
        <v>561</v>
      </c>
      <c r="E94" s="7">
        <v>1</v>
      </c>
      <c r="F94" s="7">
        <v>62</v>
      </c>
      <c r="G94" s="7">
        <v>15</v>
      </c>
      <c r="H94" s="7" t="s">
        <v>185</v>
      </c>
      <c r="I94" s="7" t="s">
        <v>558</v>
      </c>
      <c r="J94" s="14" t="s">
        <v>176</v>
      </c>
      <c r="K94" s="10"/>
      <c r="L94" s="10"/>
      <c r="M94" s="10"/>
    </row>
    <row r="95" spans="1:13">
      <c r="A95" s="6">
        <v>45965</v>
      </c>
      <c r="B95" s="7" t="s">
        <v>429</v>
      </c>
      <c r="C95" s="7" t="s">
        <v>466</v>
      </c>
      <c r="D95" s="7" t="s">
        <v>562</v>
      </c>
      <c r="E95" s="7">
        <v>1</v>
      </c>
      <c r="F95" s="7">
        <v>62</v>
      </c>
      <c r="G95" s="7">
        <v>16</v>
      </c>
      <c r="H95" s="7" t="s">
        <v>185</v>
      </c>
      <c r="I95" s="7" t="s">
        <v>77</v>
      </c>
      <c r="J95" s="14" t="s">
        <v>176</v>
      </c>
      <c r="K95" s="10"/>
      <c r="L95" s="10"/>
      <c r="M95" s="10"/>
    </row>
    <row r="96" spans="1:13">
      <c r="A96" s="6">
        <v>45965</v>
      </c>
      <c r="B96" s="7" t="s">
        <v>429</v>
      </c>
      <c r="C96" s="7" t="s">
        <v>466</v>
      </c>
      <c r="D96" s="7" t="s">
        <v>472</v>
      </c>
      <c r="E96" s="7">
        <v>1</v>
      </c>
      <c r="F96" s="7">
        <v>62</v>
      </c>
      <c r="G96" s="7">
        <v>17</v>
      </c>
      <c r="H96" s="7" t="s">
        <v>454</v>
      </c>
      <c r="I96" s="7" t="s">
        <v>77</v>
      </c>
      <c r="J96" s="14" t="s">
        <v>176</v>
      </c>
      <c r="K96" s="10"/>
      <c r="L96" s="10"/>
      <c r="M96" s="10"/>
    </row>
    <row r="97" spans="1:13">
      <c r="A97" s="6">
        <v>45965</v>
      </c>
      <c r="B97" s="7" t="s">
        <v>429</v>
      </c>
      <c r="C97" s="7" t="s">
        <v>466</v>
      </c>
      <c r="D97" s="7" t="s">
        <v>473</v>
      </c>
      <c r="E97" s="7">
        <v>22</v>
      </c>
      <c r="F97" s="7">
        <v>62</v>
      </c>
      <c r="G97" s="7">
        <v>18</v>
      </c>
      <c r="H97" s="7" t="s">
        <v>454</v>
      </c>
      <c r="I97" s="7" t="s">
        <v>77</v>
      </c>
      <c r="J97" s="14" t="s">
        <v>176</v>
      </c>
      <c r="K97" s="10"/>
      <c r="L97" s="10"/>
      <c r="M97" s="10"/>
    </row>
    <row r="98" spans="1:13">
      <c r="A98" s="6">
        <v>45965</v>
      </c>
      <c r="B98" s="7" t="s">
        <v>429</v>
      </c>
      <c r="C98" s="7" t="s">
        <v>466</v>
      </c>
      <c r="D98" s="7" t="s">
        <v>474</v>
      </c>
      <c r="E98" s="7">
        <v>24</v>
      </c>
      <c r="F98" s="7">
        <v>62</v>
      </c>
      <c r="G98" s="7">
        <v>19</v>
      </c>
      <c r="H98" s="7" t="s">
        <v>454</v>
      </c>
      <c r="I98" s="7" t="s">
        <v>77</v>
      </c>
      <c r="J98" s="14" t="s">
        <v>176</v>
      </c>
      <c r="K98" s="10"/>
      <c r="L98" s="10"/>
      <c r="M98" s="10"/>
    </row>
    <row r="99" spans="1:13">
      <c r="A99" s="6">
        <v>45965</v>
      </c>
      <c r="B99" s="7" t="s">
        <v>429</v>
      </c>
      <c r="C99" s="7" t="s">
        <v>466</v>
      </c>
      <c r="D99" s="7" t="s">
        <v>563</v>
      </c>
      <c r="E99" s="7">
        <v>3</v>
      </c>
      <c r="F99" s="7">
        <v>62</v>
      </c>
      <c r="G99" s="7">
        <v>20</v>
      </c>
      <c r="H99" s="7" t="s">
        <v>446</v>
      </c>
      <c r="I99" s="7" t="s">
        <v>77</v>
      </c>
      <c r="J99" s="14" t="s">
        <v>176</v>
      </c>
      <c r="K99" s="10"/>
      <c r="L99" s="10"/>
      <c r="M99" s="10"/>
    </row>
    <row r="100" spans="1:13">
      <c r="A100" s="6">
        <v>45965</v>
      </c>
      <c r="B100" s="7" t="s">
        <v>429</v>
      </c>
      <c r="C100" s="7" t="s">
        <v>466</v>
      </c>
      <c r="D100" s="7" t="s">
        <v>564</v>
      </c>
      <c r="E100" s="7">
        <v>1</v>
      </c>
      <c r="F100" s="7">
        <v>62</v>
      </c>
      <c r="G100" s="7">
        <v>21</v>
      </c>
      <c r="H100" s="7" t="s">
        <v>185</v>
      </c>
      <c r="I100" s="7" t="s">
        <v>468</v>
      </c>
      <c r="J100" s="14" t="s">
        <v>176</v>
      </c>
      <c r="K100" s="10"/>
      <c r="L100" s="10"/>
      <c r="M100" s="10"/>
    </row>
    <row r="101" spans="1:13">
      <c r="A101" s="6">
        <v>45965</v>
      </c>
      <c r="B101" s="7" t="s">
        <v>429</v>
      </c>
      <c r="C101" s="7" t="s">
        <v>466</v>
      </c>
      <c r="D101" s="7" t="s">
        <v>565</v>
      </c>
      <c r="E101" s="7">
        <v>1</v>
      </c>
      <c r="F101" s="7">
        <v>62</v>
      </c>
      <c r="G101" s="7">
        <v>22</v>
      </c>
      <c r="H101" s="7" t="s">
        <v>265</v>
      </c>
      <c r="I101" s="7" t="s">
        <v>227</v>
      </c>
      <c r="J101" s="14" t="s">
        <v>176</v>
      </c>
      <c r="K101" s="10"/>
      <c r="L101" s="10"/>
      <c r="M101" s="10"/>
    </row>
    <row r="102" spans="1:13">
      <c r="A102" s="6">
        <v>45965</v>
      </c>
      <c r="B102" s="7" t="s">
        <v>429</v>
      </c>
      <c r="C102" s="7" t="s">
        <v>458</v>
      </c>
      <c r="D102" s="7" t="s">
        <v>566</v>
      </c>
      <c r="E102" s="7">
        <v>1</v>
      </c>
      <c r="F102" s="7">
        <v>62</v>
      </c>
      <c r="G102" s="7">
        <v>23</v>
      </c>
      <c r="H102" s="7" t="s">
        <v>265</v>
      </c>
      <c r="I102" s="7" t="s">
        <v>77</v>
      </c>
      <c r="J102" s="14" t="s">
        <v>176</v>
      </c>
      <c r="K102" s="10"/>
      <c r="L102" s="10"/>
      <c r="M102" s="10"/>
    </row>
    <row r="103" spans="1:13">
      <c r="A103" s="6">
        <v>45965</v>
      </c>
      <c r="B103" s="7" t="s">
        <v>429</v>
      </c>
      <c r="C103" s="7" t="s">
        <v>567</v>
      </c>
      <c r="D103" s="7" t="s">
        <v>568</v>
      </c>
      <c r="E103" s="7">
        <v>1</v>
      </c>
      <c r="F103" s="7">
        <v>62</v>
      </c>
      <c r="G103" s="7">
        <v>24</v>
      </c>
      <c r="H103" s="7" t="s">
        <v>265</v>
      </c>
      <c r="I103" s="7" t="s">
        <v>457</v>
      </c>
      <c r="J103" s="14" t="s">
        <v>176</v>
      </c>
      <c r="K103" s="10"/>
      <c r="L103" s="10"/>
      <c r="M103" s="10"/>
    </row>
    <row r="104" spans="1:13">
      <c r="A104" s="6">
        <v>45965</v>
      </c>
      <c r="B104" s="7" t="s">
        <v>429</v>
      </c>
      <c r="C104" s="7" t="s">
        <v>569</v>
      </c>
      <c r="D104" s="7" t="s">
        <v>570</v>
      </c>
      <c r="E104" s="7">
        <v>1</v>
      </c>
      <c r="F104" s="7">
        <v>62</v>
      </c>
      <c r="G104" s="7">
        <v>25</v>
      </c>
      <c r="H104" s="7" t="s">
        <v>265</v>
      </c>
      <c r="I104" s="7" t="s">
        <v>571</v>
      </c>
      <c r="J104" s="14" t="s">
        <v>176</v>
      </c>
      <c r="K104" s="10"/>
      <c r="L104" s="10"/>
      <c r="M104" s="10"/>
    </row>
    <row r="105" spans="1:13">
      <c r="A105" s="6">
        <v>45965</v>
      </c>
      <c r="B105" s="7" t="s">
        <v>429</v>
      </c>
      <c r="C105" s="7" t="s">
        <v>572</v>
      </c>
      <c r="D105" s="7" t="s">
        <v>573</v>
      </c>
      <c r="E105" s="7">
        <v>3</v>
      </c>
      <c r="F105" s="7">
        <v>62</v>
      </c>
      <c r="G105" s="7">
        <v>26</v>
      </c>
      <c r="H105" s="7" t="s">
        <v>185</v>
      </c>
      <c r="I105" s="7" t="s">
        <v>574</v>
      </c>
      <c r="J105" s="14" t="s">
        <v>176</v>
      </c>
      <c r="K105" s="10"/>
      <c r="L105" s="10"/>
      <c r="M105" s="10"/>
    </row>
    <row r="106" spans="1:13">
      <c r="A106" s="6">
        <v>45965</v>
      </c>
      <c r="B106" s="7" t="s">
        <v>429</v>
      </c>
      <c r="C106" s="7" t="s">
        <v>479</v>
      </c>
      <c r="D106" s="7" t="s">
        <v>575</v>
      </c>
      <c r="E106" s="7">
        <v>19</v>
      </c>
      <c r="F106" s="7">
        <v>62</v>
      </c>
      <c r="G106" s="7">
        <v>27</v>
      </c>
      <c r="H106" s="7" t="s">
        <v>265</v>
      </c>
      <c r="I106" s="7" t="s">
        <v>576</v>
      </c>
      <c r="J106" s="14" t="s">
        <v>176</v>
      </c>
      <c r="K106" s="10"/>
      <c r="L106" s="10"/>
      <c r="M106" s="10"/>
    </row>
    <row r="107" spans="1:13">
      <c r="A107" s="6">
        <v>45965</v>
      </c>
      <c r="B107" s="7" t="s">
        <v>429</v>
      </c>
      <c r="C107" s="7" t="s">
        <v>222</v>
      </c>
      <c r="D107" s="7" t="s">
        <v>577</v>
      </c>
      <c r="E107" s="7">
        <v>15</v>
      </c>
      <c r="F107" s="7">
        <v>62</v>
      </c>
      <c r="G107" s="7">
        <v>28</v>
      </c>
      <c r="H107" s="7" t="s">
        <v>142</v>
      </c>
      <c r="I107" s="7" t="s">
        <v>77</v>
      </c>
      <c r="J107" s="14" t="s">
        <v>176</v>
      </c>
      <c r="K107" s="10"/>
      <c r="L107" s="10"/>
      <c r="M107" s="10"/>
    </row>
    <row r="108" spans="1:13">
      <c r="A108" s="6">
        <v>45965</v>
      </c>
      <c r="B108" s="7" t="s">
        <v>429</v>
      </c>
      <c r="C108" s="7" t="s">
        <v>308</v>
      </c>
      <c r="D108" s="7" t="s">
        <v>578</v>
      </c>
      <c r="E108" s="7">
        <v>4</v>
      </c>
      <c r="F108" s="7">
        <v>62</v>
      </c>
      <c r="G108" s="7">
        <v>29</v>
      </c>
      <c r="H108" s="7" t="s">
        <v>265</v>
      </c>
      <c r="I108" s="7" t="s">
        <v>579</v>
      </c>
      <c r="J108" s="14" t="s">
        <v>176</v>
      </c>
      <c r="K108" s="12"/>
      <c r="L108" s="12"/>
      <c r="M108" s="12"/>
    </row>
    <row r="109" spans="1:13">
      <c r="A109" s="6">
        <v>45965</v>
      </c>
      <c r="B109" s="7" t="s">
        <v>429</v>
      </c>
      <c r="C109" s="7" t="s">
        <v>580</v>
      </c>
      <c r="D109" s="7" t="s">
        <v>581</v>
      </c>
      <c r="E109" s="7">
        <v>13</v>
      </c>
      <c r="F109" s="7">
        <v>62</v>
      </c>
      <c r="G109" s="7">
        <v>30</v>
      </c>
      <c r="H109" s="7" t="s">
        <v>185</v>
      </c>
      <c r="I109" s="7" t="s">
        <v>77</v>
      </c>
      <c r="J109" s="14" t="s">
        <v>176</v>
      </c>
      <c r="K109" s="7"/>
      <c r="L109" s="15" t="s">
        <v>582</v>
      </c>
      <c r="M109" s="7"/>
    </row>
    <row r="110" spans="1:13">
      <c r="A110" s="6">
        <v>45965</v>
      </c>
      <c r="B110" s="7" t="s">
        <v>429</v>
      </c>
      <c r="C110" s="7" t="s">
        <v>583</v>
      </c>
      <c r="D110" s="7" t="s">
        <v>584</v>
      </c>
      <c r="E110" s="7">
        <v>6</v>
      </c>
      <c r="F110" s="7">
        <v>10</v>
      </c>
      <c r="G110" s="7">
        <v>31</v>
      </c>
      <c r="H110" s="7" t="s">
        <v>185</v>
      </c>
      <c r="I110" s="7" t="s">
        <v>514</v>
      </c>
      <c r="J110" s="14" t="s">
        <v>176</v>
      </c>
      <c r="K110" s="24">
        <v>46092</v>
      </c>
      <c r="L110" s="16" t="s">
        <v>303</v>
      </c>
      <c r="M110" s="16" t="s">
        <v>183</v>
      </c>
    </row>
    <row r="111" spans="1:13">
      <c r="A111" s="6">
        <v>45965</v>
      </c>
      <c r="B111" s="7" t="s">
        <v>429</v>
      </c>
      <c r="C111" s="7" t="s">
        <v>517</v>
      </c>
      <c r="D111" s="7" t="s">
        <v>518</v>
      </c>
      <c r="E111" s="7">
        <v>750</v>
      </c>
      <c r="F111" s="7">
        <v>10</v>
      </c>
      <c r="G111" s="7">
        <v>32</v>
      </c>
      <c r="H111" s="7" t="s">
        <v>185</v>
      </c>
      <c r="I111" s="7" t="s">
        <v>514</v>
      </c>
      <c r="J111" s="14" t="s">
        <v>176</v>
      </c>
      <c r="K111" s="11"/>
      <c r="L111" s="11"/>
      <c r="M111" s="11"/>
    </row>
    <row r="112" spans="1:13">
      <c r="A112" s="6">
        <v>45965</v>
      </c>
      <c r="B112" s="7" t="s">
        <v>429</v>
      </c>
      <c r="C112" s="7" t="s">
        <v>585</v>
      </c>
      <c r="D112" s="7" t="s">
        <v>586</v>
      </c>
      <c r="E112" s="7">
        <v>6</v>
      </c>
      <c r="F112" s="7">
        <v>10</v>
      </c>
      <c r="G112" s="7">
        <v>33</v>
      </c>
      <c r="H112" s="7" t="s">
        <v>185</v>
      </c>
      <c r="I112" s="7" t="s">
        <v>530</v>
      </c>
      <c r="J112" s="14" t="s">
        <v>176</v>
      </c>
      <c r="K112" s="11"/>
      <c r="L112" s="11"/>
      <c r="M112" s="11"/>
    </row>
    <row r="113" spans="1:13">
      <c r="A113" s="6">
        <v>45965</v>
      </c>
      <c r="B113" s="7" t="s">
        <v>429</v>
      </c>
      <c r="C113" s="7" t="s">
        <v>430</v>
      </c>
      <c r="D113" s="7" t="s">
        <v>431</v>
      </c>
      <c r="E113" s="7">
        <v>48</v>
      </c>
      <c r="F113" s="7">
        <v>10</v>
      </c>
      <c r="G113" s="7">
        <v>34</v>
      </c>
      <c r="H113" s="7" t="s">
        <v>265</v>
      </c>
      <c r="I113" s="7" t="s">
        <v>432</v>
      </c>
      <c r="J113" s="14" t="s">
        <v>176</v>
      </c>
      <c r="K113" s="11"/>
      <c r="L113" s="11"/>
      <c r="M113" s="11"/>
    </row>
    <row r="114" spans="1:13">
      <c r="A114" s="6">
        <v>45965</v>
      </c>
      <c r="B114" s="7" t="s">
        <v>429</v>
      </c>
      <c r="C114" s="7" t="s">
        <v>430</v>
      </c>
      <c r="D114" s="7" t="s">
        <v>587</v>
      </c>
      <c r="E114" s="7">
        <v>24</v>
      </c>
      <c r="F114" s="7">
        <v>10</v>
      </c>
      <c r="G114" s="7">
        <v>35</v>
      </c>
      <c r="H114" s="7" t="s">
        <v>265</v>
      </c>
      <c r="I114" s="7" t="s">
        <v>588</v>
      </c>
      <c r="J114" s="14" t="s">
        <v>176</v>
      </c>
      <c r="K114" s="11"/>
      <c r="L114" s="11"/>
      <c r="M114" s="11"/>
    </row>
    <row r="115" spans="1:13">
      <c r="A115" s="6">
        <v>45965</v>
      </c>
      <c r="B115" s="7" t="s">
        <v>429</v>
      </c>
      <c r="C115" s="7" t="s">
        <v>430</v>
      </c>
      <c r="D115" s="7" t="s">
        <v>589</v>
      </c>
      <c r="E115" s="7">
        <v>18</v>
      </c>
      <c r="F115" s="7">
        <v>10</v>
      </c>
      <c r="G115" s="7">
        <v>36</v>
      </c>
      <c r="H115" s="7" t="s">
        <v>265</v>
      </c>
      <c r="I115" s="7" t="s">
        <v>432</v>
      </c>
      <c r="J115" s="14" t="s">
        <v>176</v>
      </c>
      <c r="K115" s="11"/>
      <c r="L115" s="11"/>
      <c r="M115" s="11"/>
    </row>
    <row r="116" spans="1:13">
      <c r="A116" s="6">
        <v>45965</v>
      </c>
      <c r="B116" s="7" t="s">
        <v>429</v>
      </c>
      <c r="C116" s="7" t="s">
        <v>430</v>
      </c>
      <c r="D116" s="7" t="s">
        <v>590</v>
      </c>
      <c r="E116" s="7">
        <v>6</v>
      </c>
      <c r="F116" s="7">
        <v>10</v>
      </c>
      <c r="G116" s="7">
        <v>37</v>
      </c>
      <c r="H116" s="7" t="s">
        <v>265</v>
      </c>
      <c r="I116" s="7" t="s">
        <v>432</v>
      </c>
      <c r="J116" s="14" t="s">
        <v>176</v>
      </c>
      <c r="K116" s="11"/>
      <c r="L116" s="11"/>
      <c r="M116" s="11"/>
    </row>
    <row r="117" spans="1:13">
      <c r="A117" s="6">
        <v>45965</v>
      </c>
      <c r="B117" s="7" t="s">
        <v>429</v>
      </c>
      <c r="C117" s="7" t="s">
        <v>591</v>
      </c>
      <c r="D117" s="7" t="s">
        <v>592</v>
      </c>
      <c r="E117" s="7">
        <v>6</v>
      </c>
      <c r="F117" s="7">
        <v>10</v>
      </c>
      <c r="G117" s="7">
        <v>38</v>
      </c>
      <c r="H117" s="7" t="s">
        <v>265</v>
      </c>
      <c r="I117" s="7" t="s">
        <v>593</v>
      </c>
      <c r="J117" s="14" t="s">
        <v>176</v>
      </c>
      <c r="K117" s="11"/>
      <c r="L117" s="11"/>
      <c r="M117" s="11"/>
    </row>
    <row r="118" spans="1:13">
      <c r="A118" s="6">
        <v>45965</v>
      </c>
      <c r="B118" s="7" t="s">
        <v>429</v>
      </c>
      <c r="C118" s="7" t="s">
        <v>294</v>
      </c>
      <c r="D118" s="7" t="s">
        <v>295</v>
      </c>
      <c r="E118" s="7">
        <v>56</v>
      </c>
      <c r="F118" s="7">
        <v>10</v>
      </c>
      <c r="G118" s="7">
        <v>39</v>
      </c>
      <c r="H118" s="7" t="s">
        <v>185</v>
      </c>
      <c r="I118" s="7" t="s">
        <v>296</v>
      </c>
      <c r="J118" s="14" t="s">
        <v>176</v>
      </c>
      <c r="K118" s="11"/>
      <c r="L118" s="11"/>
      <c r="M118" s="11"/>
    </row>
    <row r="119" spans="1:13">
      <c r="A119" s="6">
        <v>45965</v>
      </c>
      <c r="B119" s="7" t="s">
        <v>429</v>
      </c>
      <c r="C119" s="7" t="s">
        <v>594</v>
      </c>
      <c r="D119" s="7" t="s">
        <v>595</v>
      </c>
      <c r="E119" s="7">
        <v>6</v>
      </c>
      <c r="F119" s="7">
        <v>10</v>
      </c>
      <c r="G119" s="7">
        <v>40</v>
      </c>
      <c r="H119" s="7" t="s">
        <v>265</v>
      </c>
      <c r="I119" s="7" t="s">
        <v>596</v>
      </c>
      <c r="J119" s="14" t="s">
        <v>176</v>
      </c>
      <c r="K119" s="11"/>
      <c r="L119" s="11"/>
      <c r="M119" s="11"/>
    </row>
    <row r="120" spans="1:13">
      <c r="A120" s="6">
        <v>45965</v>
      </c>
      <c r="B120" s="7" t="s">
        <v>429</v>
      </c>
      <c r="C120" s="7" t="s">
        <v>597</v>
      </c>
      <c r="D120" s="7" t="s">
        <v>598</v>
      </c>
      <c r="E120" s="7">
        <v>2</v>
      </c>
      <c r="F120" s="7">
        <v>10</v>
      </c>
      <c r="G120" s="7">
        <v>41</v>
      </c>
      <c r="H120" s="7" t="s">
        <v>142</v>
      </c>
      <c r="I120" s="7" t="s">
        <v>310</v>
      </c>
      <c r="J120" s="14" t="s">
        <v>176</v>
      </c>
      <c r="K120" s="11"/>
      <c r="L120" s="11"/>
      <c r="M120" s="11"/>
    </row>
    <row r="121" spans="1:13">
      <c r="A121" s="6">
        <v>45965</v>
      </c>
      <c r="B121" s="7" t="s">
        <v>429</v>
      </c>
      <c r="C121" s="7" t="s">
        <v>599</v>
      </c>
      <c r="D121" s="7" t="s">
        <v>600</v>
      </c>
      <c r="E121" s="7">
        <v>3</v>
      </c>
      <c r="F121" s="7">
        <v>10</v>
      </c>
      <c r="G121" s="7">
        <v>42</v>
      </c>
      <c r="H121" s="7" t="s">
        <v>185</v>
      </c>
      <c r="I121" s="7" t="s">
        <v>601</v>
      </c>
      <c r="J121" s="14" t="s">
        <v>176</v>
      </c>
      <c r="K121" s="11"/>
      <c r="L121" s="11"/>
      <c r="M121" s="11"/>
    </row>
    <row r="122" spans="1:13">
      <c r="A122" s="6">
        <v>45965</v>
      </c>
      <c r="B122" s="7" t="s">
        <v>429</v>
      </c>
      <c r="C122" s="7" t="s">
        <v>602</v>
      </c>
      <c r="D122" s="7" t="s">
        <v>603</v>
      </c>
      <c r="E122" s="7">
        <v>6</v>
      </c>
      <c r="F122" s="7">
        <v>10</v>
      </c>
      <c r="G122" s="7">
        <v>43</v>
      </c>
      <c r="H122" s="7" t="s">
        <v>185</v>
      </c>
      <c r="I122" s="7" t="s">
        <v>604</v>
      </c>
      <c r="J122" s="14" t="s">
        <v>176</v>
      </c>
      <c r="K122" s="11"/>
      <c r="L122" s="11"/>
      <c r="M122" s="11"/>
    </row>
    <row r="123" spans="1:13">
      <c r="A123" s="6">
        <v>45965</v>
      </c>
      <c r="B123" s="7" t="s">
        <v>429</v>
      </c>
      <c r="C123" s="7" t="s">
        <v>605</v>
      </c>
      <c r="D123" s="7" t="s">
        <v>606</v>
      </c>
      <c r="E123" s="7">
        <v>6</v>
      </c>
      <c r="F123" s="7">
        <v>10</v>
      </c>
      <c r="G123" s="7">
        <v>44</v>
      </c>
      <c r="H123" s="7" t="s">
        <v>185</v>
      </c>
      <c r="I123" s="7" t="s">
        <v>227</v>
      </c>
      <c r="J123" s="14" t="s">
        <v>176</v>
      </c>
      <c r="K123" s="11"/>
      <c r="L123" s="11"/>
      <c r="M123" s="11"/>
    </row>
    <row r="124" spans="1:13">
      <c r="A124" s="6">
        <v>45965</v>
      </c>
      <c r="B124" s="7" t="s">
        <v>429</v>
      </c>
      <c r="C124" s="7" t="s">
        <v>607</v>
      </c>
      <c r="D124" s="7" t="s">
        <v>608</v>
      </c>
      <c r="E124" s="7">
        <v>12</v>
      </c>
      <c r="F124" s="7">
        <v>10</v>
      </c>
      <c r="G124" s="7">
        <v>45</v>
      </c>
      <c r="H124" s="7" t="s">
        <v>185</v>
      </c>
      <c r="I124" s="7" t="s">
        <v>609</v>
      </c>
      <c r="J124" s="14" t="s">
        <v>176</v>
      </c>
      <c r="K124" s="11"/>
      <c r="L124" s="11"/>
      <c r="M124" s="11"/>
    </row>
    <row r="125" spans="1:13">
      <c r="A125" s="6">
        <v>45965</v>
      </c>
      <c r="B125" s="7" t="s">
        <v>429</v>
      </c>
      <c r="C125" s="7" t="s">
        <v>610</v>
      </c>
      <c r="D125" s="7" t="s">
        <v>611</v>
      </c>
      <c r="E125" s="7">
        <v>24</v>
      </c>
      <c r="F125" s="7">
        <v>10</v>
      </c>
      <c r="G125" s="7">
        <v>46</v>
      </c>
      <c r="H125" s="7" t="s">
        <v>185</v>
      </c>
      <c r="I125" s="7" t="s">
        <v>612</v>
      </c>
      <c r="J125" s="14" t="s">
        <v>176</v>
      </c>
      <c r="K125" s="11"/>
      <c r="L125" s="11"/>
      <c r="M125" s="11"/>
    </row>
    <row r="126" spans="1:13">
      <c r="A126" s="6">
        <v>45965</v>
      </c>
      <c r="B126" s="7" t="s">
        <v>429</v>
      </c>
      <c r="C126" s="7" t="s">
        <v>610</v>
      </c>
      <c r="D126" s="7" t="s">
        <v>613</v>
      </c>
      <c r="E126" s="7">
        <v>6</v>
      </c>
      <c r="F126" s="7">
        <v>10</v>
      </c>
      <c r="G126" s="7">
        <v>47</v>
      </c>
      <c r="H126" s="7" t="s">
        <v>185</v>
      </c>
      <c r="I126" s="7" t="s">
        <v>612</v>
      </c>
      <c r="J126" s="14" t="s">
        <v>176</v>
      </c>
      <c r="K126" s="11"/>
      <c r="L126" s="11"/>
      <c r="M126" s="11"/>
    </row>
    <row r="127" spans="1:13">
      <c r="A127" s="6">
        <v>45965</v>
      </c>
      <c r="B127" s="7" t="s">
        <v>429</v>
      </c>
      <c r="C127" s="7" t="s">
        <v>614</v>
      </c>
      <c r="D127" s="7" t="s">
        <v>615</v>
      </c>
      <c r="E127" s="7">
        <v>1</v>
      </c>
      <c r="F127" s="7">
        <v>10</v>
      </c>
      <c r="G127" s="7">
        <v>48</v>
      </c>
      <c r="H127" s="7" t="s">
        <v>185</v>
      </c>
      <c r="I127" s="7" t="s">
        <v>616</v>
      </c>
      <c r="J127" s="14" t="s">
        <v>176</v>
      </c>
      <c r="K127" s="11"/>
      <c r="L127" s="11"/>
      <c r="M127" s="11"/>
    </row>
    <row r="128" spans="1:13">
      <c r="A128" s="6">
        <v>45965</v>
      </c>
      <c r="B128" s="7" t="s">
        <v>429</v>
      </c>
      <c r="C128" s="7" t="s">
        <v>617</v>
      </c>
      <c r="D128" s="7" t="s">
        <v>618</v>
      </c>
      <c r="E128" s="7">
        <v>1</v>
      </c>
      <c r="F128" s="7">
        <v>10</v>
      </c>
      <c r="G128" s="7">
        <v>49</v>
      </c>
      <c r="H128" s="7" t="s">
        <v>185</v>
      </c>
      <c r="I128" s="7" t="s">
        <v>616</v>
      </c>
      <c r="J128" s="14" t="s">
        <v>176</v>
      </c>
      <c r="K128" s="13"/>
      <c r="L128" s="13"/>
      <c r="M128" s="13"/>
    </row>
    <row r="129" spans="1:13">
      <c r="A129" s="6">
        <v>45965</v>
      </c>
      <c r="B129" s="7" t="s">
        <v>429</v>
      </c>
      <c r="C129" s="7" t="s">
        <v>266</v>
      </c>
      <c r="D129" s="7" t="s">
        <v>500</v>
      </c>
      <c r="E129" s="7">
        <v>1000</v>
      </c>
      <c r="F129" s="7">
        <v>10</v>
      </c>
      <c r="G129" s="7">
        <v>50</v>
      </c>
      <c r="H129" s="7" t="s">
        <v>441</v>
      </c>
      <c r="I129" s="7" t="s">
        <v>268</v>
      </c>
      <c r="J129" s="42" t="s">
        <v>176</v>
      </c>
      <c r="K129" s="7"/>
      <c r="L129" s="7"/>
      <c r="M129" s="7"/>
    </row>
    <row r="130" spans="1:13">
      <c r="A130" s="6">
        <v>45965</v>
      </c>
      <c r="B130" s="7" t="s">
        <v>429</v>
      </c>
      <c r="C130" s="7" t="s">
        <v>266</v>
      </c>
      <c r="D130" s="7" t="s">
        <v>501</v>
      </c>
      <c r="E130" s="7">
        <v>1000</v>
      </c>
      <c r="F130" s="7">
        <v>10</v>
      </c>
      <c r="G130" s="7">
        <v>51</v>
      </c>
      <c r="H130" s="7" t="s">
        <v>441</v>
      </c>
      <c r="I130" s="7" t="s">
        <v>268</v>
      </c>
      <c r="J130" s="42" t="s">
        <v>176</v>
      </c>
      <c r="K130" s="7"/>
      <c r="L130" s="7"/>
      <c r="M130" s="7"/>
    </row>
    <row r="131" spans="1:13">
      <c r="A131" s="6">
        <v>45965</v>
      </c>
      <c r="B131" s="7" t="s">
        <v>429</v>
      </c>
      <c r="C131" s="7" t="s">
        <v>266</v>
      </c>
      <c r="D131" s="7" t="s">
        <v>502</v>
      </c>
      <c r="E131" s="7">
        <v>500</v>
      </c>
      <c r="F131" s="7">
        <v>10</v>
      </c>
      <c r="G131" s="7">
        <v>52</v>
      </c>
      <c r="H131" s="7" t="s">
        <v>441</v>
      </c>
      <c r="I131" s="7" t="s">
        <v>268</v>
      </c>
      <c r="J131" s="42" t="s">
        <v>176</v>
      </c>
      <c r="K131" s="7"/>
      <c r="L131" s="7"/>
      <c r="M131" s="7"/>
    </row>
    <row r="132" spans="1:13">
      <c r="A132" s="6">
        <v>45965</v>
      </c>
      <c r="B132" s="7" t="s">
        <v>429</v>
      </c>
      <c r="C132" s="7" t="s">
        <v>266</v>
      </c>
      <c r="D132" s="7" t="s">
        <v>503</v>
      </c>
      <c r="E132" s="7">
        <v>500</v>
      </c>
      <c r="F132" s="7">
        <v>10</v>
      </c>
      <c r="G132" s="7">
        <v>53</v>
      </c>
      <c r="H132" s="7" t="s">
        <v>441</v>
      </c>
      <c r="I132" s="7" t="s">
        <v>268</v>
      </c>
      <c r="J132" s="42" t="s">
        <v>176</v>
      </c>
      <c r="K132" s="7"/>
      <c r="L132" s="7"/>
      <c r="M132" s="7"/>
    </row>
    <row r="133" spans="1:13">
      <c r="A133" s="6">
        <v>45965</v>
      </c>
      <c r="B133" s="7" t="s">
        <v>429</v>
      </c>
      <c r="C133" s="7" t="s">
        <v>504</v>
      </c>
      <c r="D133" s="7" t="s">
        <v>505</v>
      </c>
      <c r="E133" s="7">
        <v>200</v>
      </c>
      <c r="F133" s="7">
        <v>10</v>
      </c>
      <c r="G133" s="7">
        <v>54</v>
      </c>
      <c r="H133" s="7" t="s">
        <v>441</v>
      </c>
      <c r="I133" s="7" t="s">
        <v>619</v>
      </c>
      <c r="J133" s="42" t="s">
        <v>176</v>
      </c>
      <c r="K133" s="35">
        <v>46092</v>
      </c>
      <c r="L133" s="8" t="s">
        <v>303</v>
      </c>
      <c r="M133" s="8" t="s">
        <v>183</v>
      </c>
    </row>
    <row r="134" spans="1:13">
      <c r="A134" s="6">
        <v>45965</v>
      </c>
      <c r="B134" s="7" t="s">
        <v>429</v>
      </c>
      <c r="C134" s="7" t="s">
        <v>504</v>
      </c>
      <c r="D134" s="7" t="s">
        <v>507</v>
      </c>
      <c r="E134" s="7">
        <v>200</v>
      </c>
      <c r="F134" s="7">
        <v>10</v>
      </c>
      <c r="G134" s="7">
        <v>55</v>
      </c>
      <c r="H134" s="7" t="s">
        <v>441</v>
      </c>
      <c r="I134" s="7" t="s">
        <v>619</v>
      </c>
      <c r="J134" s="42" t="s">
        <v>176</v>
      </c>
      <c r="K134" s="12"/>
      <c r="L134" s="12"/>
      <c r="M134" s="12"/>
    </row>
    <row r="135" spans="1:13">
      <c r="A135" s="6">
        <v>45965</v>
      </c>
      <c r="B135" s="7" t="s">
        <v>429</v>
      </c>
      <c r="C135" s="7" t="s">
        <v>266</v>
      </c>
      <c r="D135" s="7" t="s">
        <v>270</v>
      </c>
      <c r="E135" s="7">
        <v>200</v>
      </c>
      <c r="F135" s="7">
        <v>10</v>
      </c>
      <c r="G135" s="7">
        <v>56</v>
      </c>
      <c r="H135" s="7" t="s">
        <v>260</v>
      </c>
      <c r="I135" s="7" t="s">
        <v>268</v>
      </c>
      <c r="J135" s="38" t="s">
        <v>176</v>
      </c>
      <c r="K135" s="7"/>
      <c r="L135" s="7"/>
      <c r="M135" s="7"/>
    </row>
    <row r="136" spans="1:13">
      <c r="A136" s="6">
        <v>45965</v>
      </c>
      <c r="B136" s="7" t="s">
        <v>429</v>
      </c>
      <c r="C136" s="7" t="s">
        <v>266</v>
      </c>
      <c r="D136" s="7" t="s">
        <v>272</v>
      </c>
      <c r="E136" s="7">
        <v>200</v>
      </c>
      <c r="F136" s="7">
        <v>10</v>
      </c>
      <c r="G136" s="7">
        <v>57</v>
      </c>
      <c r="H136" s="7" t="s">
        <v>260</v>
      </c>
      <c r="I136" s="7" t="s">
        <v>268</v>
      </c>
      <c r="J136" s="38" t="s">
        <v>176</v>
      </c>
      <c r="K136" s="7"/>
      <c r="L136" s="7"/>
      <c r="M136" s="7"/>
    </row>
    <row r="137" spans="1:13">
      <c r="A137" s="6">
        <v>45965</v>
      </c>
      <c r="B137" s="7" t="s">
        <v>429</v>
      </c>
      <c r="C137" s="7" t="s">
        <v>277</v>
      </c>
      <c r="D137" s="7" t="s">
        <v>283</v>
      </c>
      <c r="E137" s="7">
        <v>1</v>
      </c>
      <c r="F137" s="7">
        <v>10</v>
      </c>
      <c r="G137" s="7">
        <v>58</v>
      </c>
      <c r="H137" s="7" t="s">
        <v>171</v>
      </c>
      <c r="I137" s="7" t="s">
        <v>620</v>
      </c>
      <c r="J137" s="38" t="s">
        <v>176</v>
      </c>
      <c r="K137" s="35">
        <v>46092</v>
      </c>
      <c r="L137" s="7"/>
      <c r="M137" s="8" t="s">
        <v>183</v>
      </c>
    </row>
    <row r="138" spans="1:13">
      <c r="A138" s="6">
        <v>45965</v>
      </c>
      <c r="B138" s="7" t="s">
        <v>429</v>
      </c>
      <c r="C138" s="7" t="s">
        <v>621</v>
      </c>
      <c r="D138" s="7" t="s">
        <v>622</v>
      </c>
      <c r="E138" s="7">
        <v>2</v>
      </c>
      <c r="F138" s="7">
        <v>10</v>
      </c>
      <c r="G138" s="7">
        <v>59</v>
      </c>
      <c r="H138" s="7" t="s">
        <v>185</v>
      </c>
      <c r="I138" s="7" t="s">
        <v>623</v>
      </c>
      <c r="J138" s="38" t="s">
        <v>176</v>
      </c>
      <c r="K138" s="10"/>
      <c r="L138" s="8" t="s">
        <v>303</v>
      </c>
      <c r="M138" s="10"/>
    </row>
    <row r="139" spans="1:13">
      <c r="A139" s="6">
        <v>45965</v>
      </c>
      <c r="B139" s="7" t="s">
        <v>429</v>
      </c>
      <c r="C139" s="7" t="s">
        <v>624</v>
      </c>
      <c r="D139" s="7" t="s">
        <v>625</v>
      </c>
      <c r="E139" s="7">
        <v>1</v>
      </c>
      <c r="F139" s="7">
        <v>10</v>
      </c>
      <c r="G139" s="7">
        <v>60</v>
      </c>
      <c r="H139" s="7" t="s">
        <v>265</v>
      </c>
      <c r="I139" s="7" t="s">
        <v>626</v>
      </c>
      <c r="J139" s="38" t="s">
        <v>176</v>
      </c>
      <c r="K139" s="12"/>
      <c r="L139" s="12"/>
      <c r="M139" s="12"/>
    </row>
    <row r="140" spans="1:13">
      <c r="A140" s="6">
        <v>46062</v>
      </c>
      <c r="B140" s="7" t="s">
        <v>429</v>
      </c>
      <c r="C140" s="7" t="s">
        <v>482</v>
      </c>
      <c r="D140" s="7" t="s">
        <v>483</v>
      </c>
      <c r="E140" s="7">
        <v>6</v>
      </c>
      <c r="F140" s="7">
        <v>10</v>
      </c>
      <c r="G140" s="7">
        <f>F140*E140</f>
        <v>60</v>
      </c>
      <c r="H140" s="7" t="s">
        <v>142</v>
      </c>
      <c r="I140" s="7" t="s">
        <v>484</v>
      </c>
      <c r="J140" s="38" t="s">
        <v>176</v>
      </c>
      <c r="K140" s="35">
        <v>46092</v>
      </c>
      <c r="L140" s="8" t="s">
        <v>303</v>
      </c>
      <c r="M140" s="8" t="s">
        <v>183</v>
      </c>
    </row>
    <row r="141" spans="1:13">
      <c r="A141" s="6">
        <v>46062</v>
      </c>
      <c r="B141" s="7" t="s">
        <v>429</v>
      </c>
      <c r="C141" s="7" t="s">
        <v>485</v>
      </c>
      <c r="D141" s="7" t="s">
        <v>486</v>
      </c>
      <c r="E141" s="7">
        <v>12</v>
      </c>
      <c r="F141" s="7">
        <v>10</v>
      </c>
      <c r="G141" s="7">
        <f t="shared" ref="G141:G155" si="5">F141*E141</f>
        <v>120</v>
      </c>
      <c r="H141" s="7" t="s">
        <v>185</v>
      </c>
      <c r="I141" s="7" t="s">
        <v>487</v>
      </c>
      <c r="J141" s="38" t="s">
        <v>176</v>
      </c>
      <c r="K141" s="10"/>
      <c r="L141" s="10"/>
      <c r="M141" s="10"/>
    </row>
    <row r="142" spans="1:13">
      <c r="A142" s="6">
        <v>46062</v>
      </c>
      <c r="B142" s="7" t="s">
        <v>429</v>
      </c>
      <c r="C142" s="7" t="s">
        <v>488</v>
      </c>
      <c r="D142" s="7" t="s">
        <v>489</v>
      </c>
      <c r="E142" s="7">
        <v>12</v>
      </c>
      <c r="F142" s="7">
        <v>10</v>
      </c>
      <c r="G142" s="7">
        <f t="shared" si="5"/>
        <v>120</v>
      </c>
      <c r="H142" s="7" t="s">
        <v>185</v>
      </c>
      <c r="I142" s="7" t="s">
        <v>487</v>
      </c>
      <c r="J142" s="38" t="s">
        <v>176</v>
      </c>
      <c r="K142" s="10"/>
      <c r="L142" s="10"/>
      <c r="M142" s="10"/>
    </row>
    <row r="143" spans="1:13">
      <c r="A143" s="6">
        <v>46062</v>
      </c>
      <c r="B143" s="7" t="s">
        <v>429</v>
      </c>
      <c r="C143" s="7" t="s">
        <v>490</v>
      </c>
      <c r="D143" s="7" t="s">
        <v>491</v>
      </c>
      <c r="E143" s="7">
        <v>3</v>
      </c>
      <c r="F143" s="7">
        <v>10</v>
      </c>
      <c r="G143" s="7">
        <f t="shared" si="5"/>
        <v>30</v>
      </c>
      <c r="H143" s="7" t="s">
        <v>171</v>
      </c>
      <c r="I143" s="7" t="s">
        <v>227</v>
      </c>
      <c r="J143" s="38" t="s">
        <v>176</v>
      </c>
      <c r="K143" s="10"/>
      <c r="L143" s="10"/>
      <c r="M143" s="10"/>
    </row>
    <row r="144" spans="1:13">
      <c r="A144" s="6">
        <v>46062</v>
      </c>
      <c r="B144" s="7" t="s">
        <v>429</v>
      </c>
      <c r="C144" s="7" t="s">
        <v>277</v>
      </c>
      <c r="D144" s="7" t="s">
        <v>492</v>
      </c>
      <c r="E144" s="7">
        <v>3</v>
      </c>
      <c r="F144" s="7">
        <v>10</v>
      </c>
      <c r="G144" s="7">
        <f t="shared" si="5"/>
        <v>30</v>
      </c>
      <c r="H144" s="7" t="s">
        <v>171</v>
      </c>
      <c r="I144" s="7" t="s">
        <v>77</v>
      </c>
      <c r="J144" s="38" t="s">
        <v>176</v>
      </c>
      <c r="K144" s="12"/>
      <c r="L144" s="12"/>
      <c r="M144" s="12"/>
    </row>
    <row r="145" spans="1:13">
      <c r="A145" s="6">
        <v>46062</v>
      </c>
      <c r="B145" s="7" t="s">
        <v>429</v>
      </c>
      <c r="C145" s="7" t="s">
        <v>291</v>
      </c>
      <c r="D145" s="7" t="s">
        <v>292</v>
      </c>
      <c r="E145" s="7">
        <v>25</v>
      </c>
      <c r="F145" s="7">
        <v>10</v>
      </c>
      <c r="G145" s="7">
        <f t="shared" si="5"/>
        <v>250</v>
      </c>
      <c r="H145" s="7" t="s">
        <v>185</v>
      </c>
      <c r="I145" s="7" t="s">
        <v>293</v>
      </c>
      <c r="J145" s="38" t="s">
        <v>176</v>
      </c>
      <c r="K145" s="36">
        <v>46092</v>
      </c>
      <c r="L145" s="28" t="s">
        <v>303</v>
      </c>
      <c r="M145" s="27" t="s">
        <v>183</v>
      </c>
    </row>
    <row r="146" spans="1:13">
      <c r="A146" s="6">
        <v>46062</v>
      </c>
      <c r="B146" s="7" t="s">
        <v>429</v>
      </c>
      <c r="C146" s="7" t="s">
        <v>294</v>
      </c>
      <c r="D146" s="7" t="s">
        <v>295</v>
      </c>
      <c r="E146" s="7">
        <v>25</v>
      </c>
      <c r="F146" s="7">
        <v>10</v>
      </c>
      <c r="G146" s="7">
        <f t="shared" si="5"/>
        <v>250</v>
      </c>
      <c r="H146" s="7" t="s">
        <v>185</v>
      </c>
      <c r="I146" s="7" t="s">
        <v>296</v>
      </c>
      <c r="J146" s="38" t="s">
        <v>176</v>
      </c>
      <c r="K146" s="36"/>
      <c r="L146" s="28"/>
      <c r="M146" s="27"/>
    </row>
    <row r="147" spans="1:13">
      <c r="A147" s="6">
        <v>46062</v>
      </c>
      <c r="B147" s="7" t="s">
        <v>429</v>
      </c>
      <c r="C147" s="7" t="s">
        <v>627</v>
      </c>
      <c r="D147" s="7" t="s">
        <v>628</v>
      </c>
      <c r="E147" s="7">
        <v>6</v>
      </c>
      <c r="F147" s="7">
        <v>10</v>
      </c>
      <c r="G147" s="7">
        <f t="shared" si="5"/>
        <v>60</v>
      </c>
      <c r="H147" s="7" t="s">
        <v>185</v>
      </c>
      <c r="I147" s="7" t="s">
        <v>629</v>
      </c>
      <c r="J147" s="38" t="s">
        <v>176</v>
      </c>
      <c r="K147" s="36"/>
      <c r="L147" s="28"/>
      <c r="M147" s="27"/>
    </row>
    <row r="148" spans="1:13">
      <c r="A148" s="6">
        <v>46062</v>
      </c>
      <c r="B148" s="7" t="s">
        <v>429</v>
      </c>
      <c r="C148" s="7" t="s">
        <v>630</v>
      </c>
      <c r="D148" s="7" t="s">
        <v>631</v>
      </c>
      <c r="E148" s="7">
        <v>6</v>
      </c>
      <c r="F148" s="7">
        <v>10</v>
      </c>
      <c r="G148" s="7">
        <f t="shared" si="5"/>
        <v>60</v>
      </c>
      <c r="H148" s="7" t="s">
        <v>265</v>
      </c>
      <c r="I148" s="7" t="s">
        <v>77</v>
      </c>
      <c r="J148" s="38" t="s">
        <v>176</v>
      </c>
      <c r="K148" s="36"/>
      <c r="L148" s="28"/>
      <c r="M148" s="27"/>
    </row>
    <row r="149" spans="1:13">
      <c r="A149" s="6">
        <v>46062</v>
      </c>
      <c r="B149" s="7" t="s">
        <v>429</v>
      </c>
      <c r="C149" s="7" t="s">
        <v>632</v>
      </c>
      <c r="D149" s="7" t="s">
        <v>633</v>
      </c>
      <c r="E149" s="7">
        <v>5</v>
      </c>
      <c r="F149" s="7">
        <v>10</v>
      </c>
      <c r="G149" s="7">
        <f t="shared" si="5"/>
        <v>50</v>
      </c>
      <c r="H149" s="7" t="s">
        <v>265</v>
      </c>
      <c r="I149" s="7" t="s">
        <v>77</v>
      </c>
      <c r="J149" s="38" t="s">
        <v>176</v>
      </c>
      <c r="K149" s="36"/>
      <c r="L149" s="28"/>
      <c r="M149" s="27"/>
    </row>
    <row r="150" spans="1:13">
      <c r="A150" s="6">
        <v>46062</v>
      </c>
      <c r="B150" s="7" t="s">
        <v>429</v>
      </c>
      <c r="C150" s="7" t="s">
        <v>436</v>
      </c>
      <c r="D150" s="7" t="s">
        <v>634</v>
      </c>
      <c r="E150" s="7">
        <v>6</v>
      </c>
      <c r="F150" s="7">
        <v>10</v>
      </c>
      <c r="G150" s="7">
        <f t="shared" si="5"/>
        <v>60</v>
      </c>
      <c r="H150" s="7" t="s">
        <v>185</v>
      </c>
      <c r="I150" s="7" t="s">
        <v>438</v>
      </c>
      <c r="J150" s="38" t="s">
        <v>176</v>
      </c>
      <c r="K150" s="43"/>
      <c r="L150" s="44"/>
      <c r="M150" s="45"/>
    </row>
    <row r="151" spans="1:13">
      <c r="A151" s="6">
        <v>46062</v>
      </c>
      <c r="B151" s="7" t="s">
        <v>429</v>
      </c>
      <c r="C151" s="7" t="s">
        <v>635</v>
      </c>
      <c r="D151" s="7" t="s">
        <v>636</v>
      </c>
      <c r="E151" s="7">
        <v>90</v>
      </c>
      <c r="F151" s="7">
        <v>10</v>
      </c>
      <c r="G151" s="7">
        <f t="shared" si="5"/>
        <v>900</v>
      </c>
      <c r="H151" s="7" t="s">
        <v>265</v>
      </c>
      <c r="I151" s="7" t="s">
        <v>476</v>
      </c>
      <c r="J151" s="38" t="s">
        <v>176</v>
      </c>
      <c r="K151" s="36">
        <v>46092</v>
      </c>
      <c r="L151" s="28" t="s">
        <v>303</v>
      </c>
      <c r="M151" s="27" t="s">
        <v>183</v>
      </c>
    </row>
    <row r="152" spans="1:13">
      <c r="A152" s="6">
        <v>46062</v>
      </c>
      <c r="B152" s="7" t="s">
        <v>429</v>
      </c>
      <c r="C152" s="7" t="s">
        <v>635</v>
      </c>
      <c r="D152" s="7" t="s">
        <v>637</v>
      </c>
      <c r="E152" s="7">
        <v>1</v>
      </c>
      <c r="F152" s="7">
        <v>10</v>
      </c>
      <c r="G152" s="7">
        <f t="shared" si="5"/>
        <v>10</v>
      </c>
      <c r="H152" s="7" t="s">
        <v>185</v>
      </c>
      <c r="I152" s="7" t="s">
        <v>77</v>
      </c>
      <c r="J152" s="38" t="s">
        <v>176</v>
      </c>
      <c r="K152" s="36"/>
      <c r="L152" s="28"/>
      <c r="M152" s="27"/>
    </row>
    <row r="153" spans="1:13">
      <c r="A153" s="6">
        <v>46062</v>
      </c>
      <c r="B153" s="7" t="s">
        <v>429</v>
      </c>
      <c r="C153" s="7" t="s">
        <v>430</v>
      </c>
      <c r="D153" s="7" t="s">
        <v>638</v>
      </c>
      <c r="E153" s="7">
        <v>24</v>
      </c>
      <c r="F153" s="7">
        <v>10</v>
      </c>
      <c r="G153" s="7">
        <f t="shared" si="5"/>
        <v>240</v>
      </c>
      <c r="H153" s="7" t="s">
        <v>265</v>
      </c>
      <c r="I153" s="7" t="s">
        <v>227</v>
      </c>
      <c r="J153" s="38" t="s">
        <v>176</v>
      </c>
      <c r="K153" s="36"/>
      <c r="L153" s="28"/>
      <c r="M153" s="27"/>
    </row>
    <row r="154" spans="1:13">
      <c r="A154" s="6">
        <v>46062</v>
      </c>
      <c r="B154" s="7" t="s">
        <v>429</v>
      </c>
      <c r="C154" s="7" t="s">
        <v>639</v>
      </c>
      <c r="D154" s="7" t="s">
        <v>640</v>
      </c>
      <c r="E154" s="7">
        <v>1</v>
      </c>
      <c r="F154" s="7">
        <v>10</v>
      </c>
      <c r="G154" s="7">
        <f t="shared" si="5"/>
        <v>10</v>
      </c>
      <c r="H154" s="7" t="s">
        <v>185</v>
      </c>
      <c r="I154" s="7" t="s">
        <v>494</v>
      </c>
      <c r="J154" s="38" t="s">
        <v>176</v>
      </c>
      <c r="K154" s="36"/>
      <c r="L154" s="28"/>
      <c r="M154" s="27"/>
    </row>
    <row r="155" spans="1:13">
      <c r="A155" s="6">
        <v>46062</v>
      </c>
      <c r="B155" s="7" t="s">
        <v>429</v>
      </c>
      <c r="C155" s="7" t="s">
        <v>222</v>
      </c>
      <c r="D155" s="7" t="s">
        <v>641</v>
      </c>
      <c r="E155" s="7">
        <v>1</v>
      </c>
      <c r="F155" s="7">
        <v>10</v>
      </c>
      <c r="G155" s="7">
        <f t="shared" si="5"/>
        <v>10</v>
      </c>
      <c r="H155" s="7" t="s">
        <v>185</v>
      </c>
      <c r="I155" s="7" t="s">
        <v>642</v>
      </c>
      <c r="J155" s="38" t="s">
        <v>176</v>
      </c>
      <c r="K155" s="36"/>
      <c r="L155" s="28"/>
      <c r="M155" s="27"/>
    </row>
    <row r="156" spans="1:13">
      <c r="A156" s="6">
        <v>45965</v>
      </c>
      <c r="B156" s="7" t="s">
        <v>429</v>
      </c>
      <c r="C156" s="7" t="s">
        <v>291</v>
      </c>
      <c r="D156" s="7" t="s">
        <v>292</v>
      </c>
      <c r="E156" s="7">
        <v>7</v>
      </c>
      <c r="F156" s="7">
        <v>10</v>
      </c>
      <c r="G156" s="7">
        <f t="shared" ref="G156:G181" si="6">F156*E156</f>
        <v>70</v>
      </c>
      <c r="H156" s="7" t="s">
        <v>185</v>
      </c>
      <c r="I156" s="7" t="s">
        <v>293</v>
      </c>
      <c r="J156" s="38" t="s">
        <v>176</v>
      </c>
      <c r="K156" s="36">
        <v>46092</v>
      </c>
      <c r="L156" s="28" t="s">
        <v>643</v>
      </c>
      <c r="M156" s="27" t="s">
        <v>183</v>
      </c>
    </row>
    <row r="157" spans="1:13">
      <c r="A157" s="6">
        <v>45965</v>
      </c>
      <c r="B157" s="7" t="s">
        <v>429</v>
      </c>
      <c r="C157" s="7" t="s">
        <v>294</v>
      </c>
      <c r="D157" s="7" t="s">
        <v>644</v>
      </c>
      <c r="E157" s="7">
        <v>7</v>
      </c>
      <c r="F157" s="7">
        <v>10</v>
      </c>
      <c r="G157" s="7">
        <f t="shared" si="6"/>
        <v>70</v>
      </c>
      <c r="H157" s="7" t="s">
        <v>185</v>
      </c>
      <c r="I157" s="7" t="s">
        <v>296</v>
      </c>
      <c r="J157" s="38" t="s">
        <v>176</v>
      </c>
      <c r="K157" s="36"/>
      <c r="L157" s="28"/>
      <c r="M157" s="27"/>
    </row>
    <row r="158" spans="1:13">
      <c r="A158" s="6">
        <v>45965</v>
      </c>
      <c r="B158" s="7" t="s">
        <v>429</v>
      </c>
      <c r="C158" s="7" t="s">
        <v>645</v>
      </c>
      <c r="D158" s="7" t="s">
        <v>646</v>
      </c>
      <c r="E158" s="7">
        <v>2</v>
      </c>
      <c r="F158" s="7">
        <v>10</v>
      </c>
      <c r="G158" s="7">
        <f t="shared" si="6"/>
        <v>20</v>
      </c>
      <c r="H158" s="7" t="s">
        <v>185</v>
      </c>
      <c r="I158" s="7" t="s">
        <v>647</v>
      </c>
      <c r="J158" s="38" t="s">
        <v>176</v>
      </c>
      <c r="K158" s="36"/>
      <c r="L158" s="28"/>
      <c r="M158" s="27"/>
    </row>
    <row r="159" spans="1:13">
      <c r="A159" s="6">
        <v>45965</v>
      </c>
      <c r="B159" s="7" t="s">
        <v>429</v>
      </c>
      <c r="C159" s="7" t="s">
        <v>648</v>
      </c>
      <c r="D159" s="7" t="s">
        <v>649</v>
      </c>
      <c r="E159" s="7">
        <v>2</v>
      </c>
      <c r="F159" s="7">
        <v>10</v>
      </c>
      <c r="G159" s="7">
        <f t="shared" si="6"/>
        <v>20</v>
      </c>
      <c r="H159" s="7" t="s">
        <v>185</v>
      </c>
      <c r="I159" s="7" t="s">
        <v>650</v>
      </c>
      <c r="J159" s="38" t="s">
        <v>176</v>
      </c>
      <c r="K159" s="36"/>
      <c r="L159" s="28"/>
      <c r="M159" s="27"/>
    </row>
    <row r="160" spans="1:13">
      <c r="A160" s="6">
        <v>45965</v>
      </c>
      <c r="B160" s="7" t="s">
        <v>429</v>
      </c>
      <c r="C160" s="7" t="s">
        <v>651</v>
      </c>
      <c r="D160" s="7" t="s">
        <v>652</v>
      </c>
      <c r="E160" s="7">
        <v>2</v>
      </c>
      <c r="F160" s="7">
        <v>10</v>
      </c>
      <c r="G160" s="7">
        <f t="shared" si="6"/>
        <v>20</v>
      </c>
      <c r="H160" s="7" t="s">
        <v>185</v>
      </c>
      <c r="I160" s="7" t="s">
        <v>650</v>
      </c>
      <c r="J160" s="38" t="s">
        <v>176</v>
      </c>
      <c r="K160" s="36"/>
      <c r="L160" s="28"/>
      <c r="M160" s="27"/>
    </row>
    <row r="161" spans="1:13">
      <c r="A161" s="6">
        <v>45965</v>
      </c>
      <c r="B161" s="7" t="s">
        <v>429</v>
      </c>
      <c r="C161" s="7" t="s">
        <v>653</v>
      </c>
      <c r="D161" s="7" t="s">
        <v>654</v>
      </c>
      <c r="E161" s="7">
        <v>9</v>
      </c>
      <c r="F161" s="7">
        <v>10</v>
      </c>
      <c r="G161" s="7">
        <f t="shared" si="6"/>
        <v>90</v>
      </c>
      <c r="H161" s="7" t="s">
        <v>185</v>
      </c>
      <c r="I161" s="7" t="s">
        <v>655</v>
      </c>
      <c r="J161" s="38" t="s">
        <v>176</v>
      </c>
      <c r="K161" s="36"/>
      <c r="L161" s="28"/>
      <c r="M161" s="27"/>
    </row>
    <row r="162" spans="1:13">
      <c r="A162" s="6">
        <v>45965</v>
      </c>
      <c r="B162" s="7" t="s">
        <v>429</v>
      </c>
      <c r="C162" s="7" t="s">
        <v>653</v>
      </c>
      <c r="D162" s="7" t="s">
        <v>656</v>
      </c>
      <c r="E162" s="7">
        <v>6</v>
      </c>
      <c r="F162" s="7">
        <v>10</v>
      </c>
      <c r="G162" s="7">
        <f t="shared" si="6"/>
        <v>60</v>
      </c>
      <c r="H162" s="7" t="s">
        <v>185</v>
      </c>
      <c r="I162" s="7" t="s">
        <v>655</v>
      </c>
      <c r="J162" s="38" t="s">
        <v>176</v>
      </c>
      <c r="K162" s="36"/>
      <c r="L162" s="28"/>
      <c r="M162" s="27"/>
    </row>
    <row r="163" spans="1:13">
      <c r="A163" s="6">
        <v>45965</v>
      </c>
      <c r="B163" s="7" t="s">
        <v>429</v>
      </c>
      <c r="C163" s="7" t="s">
        <v>653</v>
      </c>
      <c r="D163" s="7" t="s">
        <v>657</v>
      </c>
      <c r="E163" s="7">
        <v>9</v>
      </c>
      <c r="F163" s="7">
        <v>10</v>
      </c>
      <c r="G163" s="7">
        <f t="shared" si="6"/>
        <v>90</v>
      </c>
      <c r="H163" s="7" t="s">
        <v>185</v>
      </c>
      <c r="I163" s="7" t="s">
        <v>494</v>
      </c>
      <c r="J163" s="38" t="s">
        <v>176</v>
      </c>
      <c r="K163" s="36"/>
      <c r="L163" s="28"/>
      <c r="M163" s="27"/>
    </row>
    <row r="164" spans="1:13">
      <c r="A164" s="6">
        <v>45965</v>
      </c>
      <c r="B164" s="7" t="s">
        <v>429</v>
      </c>
      <c r="C164" s="7" t="s">
        <v>653</v>
      </c>
      <c r="D164" s="7" t="s">
        <v>658</v>
      </c>
      <c r="E164" s="7">
        <v>6</v>
      </c>
      <c r="F164" s="7">
        <v>10</v>
      </c>
      <c r="G164" s="7">
        <f t="shared" si="6"/>
        <v>60</v>
      </c>
      <c r="H164" s="7" t="s">
        <v>185</v>
      </c>
      <c r="I164" s="7" t="s">
        <v>655</v>
      </c>
      <c r="J164" s="38" t="s">
        <v>176</v>
      </c>
      <c r="K164" s="36"/>
      <c r="L164" s="28"/>
      <c r="M164" s="27"/>
    </row>
    <row r="165" spans="1:13">
      <c r="A165" s="6">
        <v>45965</v>
      </c>
      <c r="B165" s="7" t="s">
        <v>429</v>
      </c>
      <c r="C165" s="7" t="s">
        <v>659</v>
      </c>
      <c r="D165" s="7" t="s">
        <v>660</v>
      </c>
      <c r="E165" s="7">
        <v>2</v>
      </c>
      <c r="F165" s="7">
        <v>10</v>
      </c>
      <c r="G165" s="7">
        <f t="shared" si="6"/>
        <v>20</v>
      </c>
      <c r="H165" s="7" t="s">
        <v>142</v>
      </c>
      <c r="I165" s="7"/>
      <c r="J165" s="38" t="s">
        <v>176</v>
      </c>
      <c r="K165" s="36"/>
      <c r="L165" s="28"/>
      <c r="M165" s="27"/>
    </row>
    <row r="166" spans="1:13">
      <c r="A166" s="6">
        <v>45965</v>
      </c>
      <c r="B166" s="7" t="s">
        <v>429</v>
      </c>
      <c r="C166" s="7" t="s">
        <v>639</v>
      </c>
      <c r="D166" s="7" t="s">
        <v>661</v>
      </c>
      <c r="E166" s="7">
        <v>6</v>
      </c>
      <c r="F166" s="7">
        <v>10</v>
      </c>
      <c r="G166" s="7">
        <f t="shared" si="6"/>
        <v>60</v>
      </c>
      <c r="H166" s="7" t="s">
        <v>185</v>
      </c>
      <c r="I166" s="7" t="s">
        <v>662</v>
      </c>
      <c r="J166" s="38" t="s">
        <v>176</v>
      </c>
      <c r="K166" s="36"/>
      <c r="L166" s="28"/>
      <c r="M166" s="27"/>
    </row>
    <row r="167" spans="1:13">
      <c r="A167" s="6">
        <v>45965</v>
      </c>
      <c r="B167" s="7" t="s">
        <v>429</v>
      </c>
      <c r="C167" s="7" t="s">
        <v>222</v>
      </c>
      <c r="D167" s="7" t="s">
        <v>641</v>
      </c>
      <c r="E167" s="7">
        <v>6</v>
      </c>
      <c r="F167" s="7">
        <v>10</v>
      </c>
      <c r="G167" s="7">
        <f t="shared" si="6"/>
        <v>60</v>
      </c>
      <c r="H167" s="7" t="s">
        <v>185</v>
      </c>
      <c r="I167" s="7" t="s">
        <v>642</v>
      </c>
      <c r="J167" s="38" t="s">
        <v>176</v>
      </c>
      <c r="K167" s="36"/>
      <c r="L167" s="28"/>
      <c r="M167" s="27"/>
    </row>
    <row r="168" spans="1:13">
      <c r="A168" s="6">
        <v>45965</v>
      </c>
      <c r="B168" s="7" t="s">
        <v>429</v>
      </c>
      <c r="C168" s="7" t="s">
        <v>663</v>
      </c>
      <c r="D168" s="7" t="s">
        <v>664</v>
      </c>
      <c r="E168" s="7">
        <v>1000</v>
      </c>
      <c r="F168" s="7">
        <v>10</v>
      </c>
      <c r="G168" s="7">
        <f t="shared" si="6"/>
        <v>10000</v>
      </c>
      <c r="H168" s="7" t="s">
        <v>171</v>
      </c>
      <c r="I168" s="7" t="s">
        <v>494</v>
      </c>
      <c r="J168" s="38" t="s">
        <v>176</v>
      </c>
      <c r="K168" s="36"/>
      <c r="L168" s="28"/>
      <c r="M168" s="27"/>
    </row>
    <row r="169" spans="1:13">
      <c r="A169" s="6">
        <v>45965</v>
      </c>
      <c r="B169" s="7" t="s">
        <v>429</v>
      </c>
      <c r="C169" s="7" t="s">
        <v>632</v>
      </c>
      <c r="D169" s="7" t="s">
        <v>633</v>
      </c>
      <c r="E169" s="7">
        <v>5</v>
      </c>
      <c r="F169" s="7">
        <v>10</v>
      </c>
      <c r="G169" s="7">
        <f t="shared" si="6"/>
        <v>50</v>
      </c>
      <c r="H169" s="7" t="s">
        <v>265</v>
      </c>
      <c r="I169" s="7" t="s">
        <v>77</v>
      </c>
      <c r="J169" s="38" t="s">
        <v>176</v>
      </c>
      <c r="K169" s="36"/>
      <c r="L169" s="28"/>
      <c r="M169" s="27"/>
    </row>
    <row r="170" spans="1:13">
      <c r="A170" s="6">
        <v>45965</v>
      </c>
      <c r="B170" s="7" t="s">
        <v>429</v>
      </c>
      <c r="C170" s="7" t="s">
        <v>627</v>
      </c>
      <c r="D170" s="7" t="s">
        <v>628</v>
      </c>
      <c r="E170" s="7">
        <v>12</v>
      </c>
      <c r="F170" s="7">
        <v>10</v>
      </c>
      <c r="G170" s="7">
        <f t="shared" si="6"/>
        <v>120</v>
      </c>
      <c r="H170" s="7" t="s">
        <v>185</v>
      </c>
      <c r="I170" s="7" t="s">
        <v>629</v>
      </c>
      <c r="J170" s="38" t="s">
        <v>176</v>
      </c>
      <c r="K170" s="36"/>
      <c r="L170" s="28"/>
      <c r="M170" s="27"/>
    </row>
    <row r="171" spans="1:13">
      <c r="A171" s="6">
        <v>45965</v>
      </c>
      <c r="B171" s="7" t="s">
        <v>429</v>
      </c>
      <c r="C171" s="7" t="s">
        <v>630</v>
      </c>
      <c r="D171" s="7" t="s">
        <v>631</v>
      </c>
      <c r="E171" s="7">
        <v>12</v>
      </c>
      <c r="F171" s="7">
        <v>10</v>
      </c>
      <c r="G171" s="7">
        <f t="shared" si="6"/>
        <v>120</v>
      </c>
      <c r="H171" s="7" t="s">
        <v>265</v>
      </c>
      <c r="I171" s="7" t="s">
        <v>77</v>
      </c>
      <c r="J171" s="38" t="s">
        <v>176</v>
      </c>
      <c r="K171" s="36"/>
      <c r="L171" s="28"/>
      <c r="M171" s="27"/>
    </row>
    <row r="172" spans="1:13">
      <c r="A172" s="6">
        <v>45965</v>
      </c>
      <c r="B172" s="7" t="s">
        <v>429</v>
      </c>
      <c r="C172" s="7" t="s">
        <v>263</v>
      </c>
      <c r="D172" s="7" t="s">
        <v>264</v>
      </c>
      <c r="E172" s="7">
        <v>4</v>
      </c>
      <c r="F172" s="7">
        <v>10</v>
      </c>
      <c r="G172" s="7">
        <f t="shared" si="6"/>
        <v>40</v>
      </c>
      <c r="H172" s="7" t="s">
        <v>265</v>
      </c>
      <c r="I172" s="7" t="s">
        <v>227</v>
      </c>
      <c r="J172" s="38" t="s">
        <v>176</v>
      </c>
      <c r="K172" s="36"/>
      <c r="L172" s="28"/>
      <c r="M172" s="27"/>
    </row>
    <row r="173" spans="1:13">
      <c r="A173" s="6">
        <v>45965</v>
      </c>
      <c r="B173" s="7" t="s">
        <v>429</v>
      </c>
      <c r="C173" s="7" t="s">
        <v>277</v>
      </c>
      <c r="D173" s="7" t="s">
        <v>283</v>
      </c>
      <c r="E173" s="7">
        <v>6</v>
      </c>
      <c r="F173" s="7">
        <v>10</v>
      </c>
      <c r="G173" s="7">
        <f t="shared" si="6"/>
        <v>60</v>
      </c>
      <c r="H173" s="7" t="s">
        <v>171</v>
      </c>
      <c r="I173" s="7" t="s">
        <v>620</v>
      </c>
      <c r="J173" s="38" t="s">
        <v>176</v>
      </c>
      <c r="K173" s="36"/>
      <c r="L173" s="28"/>
      <c r="M173" s="27"/>
    </row>
    <row r="174" spans="1:13">
      <c r="A174" s="6">
        <v>45965</v>
      </c>
      <c r="B174" s="7" t="s">
        <v>429</v>
      </c>
      <c r="C174" s="7" t="s">
        <v>266</v>
      </c>
      <c r="D174" s="7" t="s">
        <v>500</v>
      </c>
      <c r="E174" s="7">
        <v>500</v>
      </c>
      <c r="F174" s="7">
        <v>10</v>
      </c>
      <c r="G174" s="7">
        <f t="shared" si="6"/>
        <v>5000</v>
      </c>
      <c r="H174" s="7" t="s">
        <v>441</v>
      </c>
      <c r="I174" s="7" t="s">
        <v>268</v>
      </c>
      <c r="J174" s="46" t="s">
        <v>176</v>
      </c>
      <c r="K174" s="45"/>
      <c r="L174" s="45"/>
      <c r="M174" s="45"/>
    </row>
    <row r="175" spans="1:13">
      <c r="A175" s="6">
        <v>45965</v>
      </c>
      <c r="B175" s="7" t="s">
        <v>429</v>
      </c>
      <c r="C175" s="7" t="s">
        <v>266</v>
      </c>
      <c r="D175" s="7" t="s">
        <v>501</v>
      </c>
      <c r="E175" s="7">
        <v>500</v>
      </c>
      <c r="F175" s="7">
        <v>10</v>
      </c>
      <c r="G175" s="7">
        <f t="shared" si="6"/>
        <v>5000</v>
      </c>
      <c r="H175" s="7" t="s">
        <v>441</v>
      </c>
      <c r="I175" s="7" t="s">
        <v>268</v>
      </c>
      <c r="J175" s="46" t="s">
        <v>176</v>
      </c>
      <c r="K175" s="45"/>
      <c r="L175" s="45"/>
      <c r="M175" s="45"/>
    </row>
    <row r="176" spans="1:13">
      <c r="A176" s="6">
        <v>45965</v>
      </c>
      <c r="B176" s="7" t="s">
        <v>429</v>
      </c>
      <c r="C176" s="7" t="s">
        <v>266</v>
      </c>
      <c r="D176" s="7" t="s">
        <v>502</v>
      </c>
      <c r="E176" s="7">
        <v>500</v>
      </c>
      <c r="F176" s="7">
        <v>10</v>
      </c>
      <c r="G176" s="7">
        <f t="shared" si="6"/>
        <v>5000</v>
      </c>
      <c r="H176" s="7" t="s">
        <v>441</v>
      </c>
      <c r="I176" s="7" t="s">
        <v>268</v>
      </c>
      <c r="J176" s="46" t="s">
        <v>176</v>
      </c>
      <c r="K176" s="45"/>
      <c r="L176" s="45"/>
      <c r="M176" s="45"/>
    </row>
    <row r="177" spans="1:13">
      <c r="A177" s="6">
        <v>45965</v>
      </c>
      <c r="B177" s="7" t="s">
        <v>429</v>
      </c>
      <c r="C177" s="7" t="s">
        <v>266</v>
      </c>
      <c r="D177" s="7" t="s">
        <v>503</v>
      </c>
      <c r="E177" s="7">
        <v>500</v>
      </c>
      <c r="F177" s="7">
        <v>10</v>
      </c>
      <c r="G177" s="7">
        <f t="shared" si="6"/>
        <v>5000</v>
      </c>
      <c r="H177" s="7" t="s">
        <v>441</v>
      </c>
      <c r="I177" s="7" t="s">
        <v>268</v>
      </c>
      <c r="J177" s="46" t="s">
        <v>176</v>
      </c>
      <c r="K177" s="45"/>
      <c r="L177" s="45"/>
      <c r="M177" s="45"/>
    </row>
    <row r="178" spans="1:13">
      <c r="A178" s="6">
        <v>45965</v>
      </c>
      <c r="B178" s="7" t="s">
        <v>429</v>
      </c>
      <c r="C178" s="7" t="s">
        <v>665</v>
      </c>
      <c r="D178" s="7" t="s">
        <v>666</v>
      </c>
      <c r="E178" s="7">
        <v>1</v>
      </c>
      <c r="F178" s="7">
        <v>10</v>
      </c>
      <c r="G178" s="7">
        <f t="shared" si="6"/>
        <v>10</v>
      </c>
      <c r="H178" s="7" t="s">
        <v>171</v>
      </c>
      <c r="I178" s="7" t="s">
        <v>313</v>
      </c>
      <c r="J178" s="38" t="s">
        <v>176</v>
      </c>
      <c r="K178" s="43">
        <v>46092</v>
      </c>
      <c r="L178" s="45"/>
      <c r="M178" s="45" t="s">
        <v>183</v>
      </c>
    </row>
    <row r="179" spans="1:13">
      <c r="A179" s="6">
        <v>45965</v>
      </c>
      <c r="B179" s="7" t="s">
        <v>429</v>
      </c>
      <c r="C179" s="7" t="s">
        <v>667</v>
      </c>
      <c r="D179" s="7" t="s">
        <v>668</v>
      </c>
      <c r="E179" s="7">
        <v>6</v>
      </c>
      <c r="F179" s="7">
        <v>10</v>
      </c>
      <c r="G179" s="7">
        <f t="shared" si="6"/>
        <v>60</v>
      </c>
      <c r="H179" s="7" t="s">
        <v>171</v>
      </c>
      <c r="I179" s="7" t="s">
        <v>313</v>
      </c>
      <c r="J179" s="47" t="s">
        <v>162</v>
      </c>
      <c r="K179" s="45"/>
      <c r="L179" s="45" t="s">
        <v>669</v>
      </c>
      <c r="M179" s="45"/>
    </row>
    <row r="180" spans="1:13">
      <c r="A180" s="6">
        <v>45965</v>
      </c>
      <c r="B180" s="7" t="s">
        <v>429</v>
      </c>
      <c r="C180" s="7" t="s">
        <v>297</v>
      </c>
      <c r="D180" s="7" t="s">
        <v>298</v>
      </c>
      <c r="E180" s="7">
        <v>1</v>
      </c>
      <c r="F180" s="7">
        <v>10</v>
      </c>
      <c r="G180" s="7">
        <f t="shared" si="6"/>
        <v>10</v>
      </c>
      <c r="H180" s="7" t="s">
        <v>171</v>
      </c>
      <c r="I180" s="7" t="s">
        <v>299</v>
      </c>
      <c r="J180" s="38" t="s">
        <v>176</v>
      </c>
      <c r="K180" s="43">
        <v>46092</v>
      </c>
      <c r="L180" s="45"/>
      <c r="M180" s="45" t="s">
        <v>183</v>
      </c>
    </row>
    <row r="181" spans="1:13">
      <c r="A181" s="6">
        <v>46065</v>
      </c>
      <c r="B181" s="7" t="s">
        <v>429</v>
      </c>
      <c r="C181" s="7" t="s">
        <v>670</v>
      </c>
      <c r="D181" s="7" t="s">
        <v>671</v>
      </c>
      <c r="E181" s="7">
        <v>66</v>
      </c>
      <c r="F181" s="7">
        <v>1</v>
      </c>
      <c r="G181" s="7">
        <f t="shared" si="6"/>
        <v>66</v>
      </c>
      <c r="H181" s="7" t="s">
        <v>190</v>
      </c>
      <c r="I181" s="7" t="s">
        <v>672</v>
      </c>
      <c r="J181" s="38" t="s">
        <v>176</v>
      </c>
      <c r="K181" s="7"/>
      <c r="L181" s="7"/>
      <c r="M181" s="7"/>
    </row>
  </sheetData>
  <mergeCells count="36">
    <mergeCell ref="J5:J6"/>
    <mergeCell ref="J58:J59"/>
    <mergeCell ref="K9:K24"/>
    <mergeCell ref="K25:K29"/>
    <mergeCell ref="K36:K57"/>
    <mergeCell ref="K81:K108"/>
    <mergeCell ref="K110:K128"/>
    <mergeCell ref="K133:K134"/>
    <mergeCell ref="K137:K139"/>
    <mergeCell ref="K140:K144"/>
    <mergeCell ref="K145:K149"/>
    <mergeCell ref="K151:K155"/>
    <mergeCell ref="K156:K173"/>
    <mergeCell ref="L9:L24"/>
    <mergeCell ref="L25:L29"/>
    <mergeCell ref="L36:L57"/>
    <mergeCell ref="L81:L108"/>
    <mergeCell ref="L110:L128"/>
    <mergeCell ref="L133:L134"/>
    <mergeCell ref="L138:L139"/>
    <mergeCell ref="L140:L144"/>
    <mergeCell ref="L145:L149"/>
    <mergeCell ref="L151:L155"/>
    <mergeCell ref="L156:L173"/>
    <mergeCell ref="M2:M3"/>
    <mergeCell ref="M9:M24"/>
    <mergeCell ref="M25:M29"/>
    <mergeCell ref="M36:M57"/>
    <mergeCell ref="M81:M108"/>
    <mergeCell ref="M110:M128"/>
    <mergeCell ref="M133:M134"/>
    <mergeCell ref="M137:M139"/>
    <mergeCell ref="M140:M144"/>
    <mergeCell ref="M145:M149"/>
    <mergeCell ref="M151:M155"/>
    <mergeCell ref="M156:M173"/>
  </mergeCells>
  <dataValidations count="1">
    <dataValidation type="list" allowBlank="1" showInputMessage="1" showErrorMessage="1" sqref="J2:J181">
      <formula1>"已到货,未到货"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9"/>
  <sheetViews>
    <sheetView zoomScale="80" zoomScaleNormal="80" topLeftCell="B132" workbookViewId="0">
      <selection activeCell="L125" sqref="L125"/>
    </sheetView>
  </sheetViews>
  <sheetFormatPr defaultColWidth="8.66666666666667" defaultRowHeight="14"/>
  <cols>
    <col min="1" max="1" width="11.25" customWidth="1"/>
    <col min="3" max="3" width="21.5" customWidth="1"/>
    <col min="4" max="4" width="43.75" customWidth="1"/>
    <col min="6" max="6" width="10" customWidth="1"/>
    <col min="9" max="9" width="14.9166666666667" customWidth="1"/>
    <col min="11" max="11" width="9.25" customWidth="1"/>
  </cols>
  <sheetData>
    <row r="1" s="1" customFormat="1" ht="30.65" customHeight="1" spans="1:14">
      <c r="A1" s="2" t="s">
        <v>128</v>
      </c>
      <c r="B1" s="3" t="s">
        <v>129</v>
      </c>
      <c r="C1" s="4" t="s">
        <v>130</v>
      </c>
      <c r="D1" s="2" t="s">
        <v>131</v>
      </c>
      <c r="E1" s="2" t="s">
        <v>4</v>
      </c>
      <c r="F1" s="2" t="s">
        <v>132</v>
      </c>
      <c r="G1" s="3" t="s">
        <v>133</v>
      </c>
      <c r="H1" s="3" t="s">
        <v>134</v>
      </c>
      <c r="I1" s="3" t="s">
        <v>2</v>
      </c>
      <c r="J1" s="3" t="s">
        <v>135</v>
      </c>
      <c r="K1" s="2" t="s">
        <v>136</v>
      </c>
      <c r="L1" s="2" t="s">
        <v>137</v>
      </c>
      <c r="M1" s="3" t="s">
        <v>138</v>
      </c>
      <c r="N1" s="5"/>
    </row>
    <row r="2" spans="1:14">
      <c r="A2" s="6">
        <v>45966</v>
      </c>
      <c r="B2" s="7" t="s">
        <v>673</v>
      </c>
      <c r="C2" s="14" t="s">
        <v>674</v>
      </c>
      <c r="D2" s="14" t="s">
        <v>675</v>
      </c>
      <c r="E2" s="7">
        <v>302</v>
      </c>
      <c r="F2" s="7">
        <v>1</v>
      </c>
      <c r="G2" s="7">
        <f>F2*E2</f>
        <v>302</v>
      </c>
      <c r="H2" s="7" t="s">
        <v>190</v>
      </c>
      <c r="I2" s="7" t="s">
        <v>676</v>
      </c>
      <c r="J2" s="14" t="s">
        <v>176</v>
      </c>
      <c r="K2" s="7"/>
      <c r="L2" s="7"/>
      <c r="M2" s="7"/>
    </row>
    <row r="3" spans="1:14">
      <c r="A3" s="6">
        <v>45966</v>
      </c>
      <c r="B3" s="7" t="s">
        <v>673</v>
      </c>
      <c r="C3" s="7" t="s">
        <v>677</v>
      </c>
      <c r="D3" s="7" t="s">
        <v>678</v>
      </c>
      <c r="E3" s="7">
        <v>70</v>
      </c>
      <c r="F3" s="7">
        <v>1</v>
      </c>
      <c r="G3" s="7">
        <f>F3*E3</f>
        <v>70</v>
      </c>
      <c r="H3" s="7" t="s">
        <v>190</v>
      </c>
      <c r="I3" s="7" t="s">
        <v>679</v>
      </c>
      <c r="J3" s="14" t="s">
        <v>176</v>
      </c>
      <c r="K3" s="7"/>
      <c r="L3" s="7"/>
      <c r="M3" s="7"/>
    </row>
    <row r="4" spans="1:14">
      <c r="A4" s="6">
        <v>45966</v>
      </c>
      <c r="B4" s="7" t="s">
        <v>673</v>
      </c>
      <c r="C4" s="14" t="s">
        <v>677</v>
      </c>
      <c r="D4" s="14" t="s">
        <v>680</v>
      </c>
      <c r="E4" s="7">
        <v>70</v>
      </c>
      <c r="F4" s="7">
        <v>1</v>
      </c>
      <c r="G4" s="7">
        <f>F4*E4</f>
        <v>70</v>
      </c>
      <c r="H4" s="7" t="s">
        <v>190</v>
      </c>
      <c r="I4" s="7" t="s">
        <v>679</v>
      </c>
      <c r="J4" s="14" t="s">
        <v>176</v>
      </c>
      <c r="K4" s="7"/>
      <c r="L4" s="7"/>
      <c r="M4" s="7"/>
    </row>
    <row r="5" spans="1:14">
      <c r="A5" s="6">
        <v>45966</v>
      </c>
      <c r="B5" s="7" t="s">
        <v>673</v>
      </c>
      <c r="C5" s="7" t="s">
        <v>444</v>
      </c>
      <c r="D5" s="7" t="s">
        <v>681</v>
      </c>
      <c r="E5" s="7">
        <v>146</v>
      </c>
      <c r="F5" s="7">
        <v>62</v>
      </c>
      <c r="G5" s="7">
        <f>F5*E5</f>
        <v>9052</v>
      </c>
      <c r="H5" s="7" t="s">
        <v>190</v>
      </c>
      <c r="I5" s="7" t="s">
        <v>471</v>
      </c>
      <c r="J5" s="38" t="s">
        <v>176</v>
      </c>
      <c r="K5" s="7"/>
      <c r="L5" s="7"/>
      <c r="M5" s="7"/>
    </row>
    <row r="6" spans="1:14">
      <c r="A6" s="6">
        <v>45966</v>
      </c>
      <c r="B6" s="7" t="s">
        <v>673</v>
      </c>
      <c r="C6" s="7" t="s">
        <v>444</v>
      </c>
      <c r="D6" s="7" t="s">
        <v>682</v>
      </c>
      <c r="E6" s="7">
        <v>59</v>
      </c>
      <c r="F6" s="7">
        <v>62</v>
      </c>
      <c r="G6" s="7">
        <f t="shared" ref="G6:G37" si="0">F6*E6</f>
        <v>3658</v>
      </c>
      <c r="H6" s="7" t="s">
        <v>190</v>
      </c>
      <c r="I6" s="7" t="s">
        <v>471</v>
      </c>
      <c r="J6" s="38" t="s">
        <v>176</v>
      </c>
      <c r="K6" s="7"/>
      <c r="L6" s="7"/>
      <c r="M6" s="7"/>
    </row>
    <row r="7" spans="1:14">
      <c r="A7" s="6">
        <v>45966</v>
      </c>
      <c r="B7" s="7" t="s">
        <v>673</v>
      </c>
      <c r="C7" s="7" t="s">
        <v>444</v>
      </c>
      <c r="D7" s="7" t="s">
        <v>683</v>
      </c>
      <c r="E7" s="7">
        <v>24</v>
      </c>
      <c r="F7" s="7">
        <v>62</v>
      </c>
      <c r="G7" s="7">
        <f t="shared" si="0"/>
        <v>1488</v>
      </c>
      <c r="H7" s="7" t="s">
        <v>190</v>
      </c>
      <c r="I7" s="7" t="s">
        <v>471</v>
      </c>
      <c r="J7" s="38" t="s">
        <v>176</v>
      </c>
      <c r="K7" s="7"/>
      <c r="L7" s="7"/>
      <c r="M7" s="7"/>
    </row>
    <row r="8" spans="1:14">
      <c r="A8" s="6">
        <v>45966</v>
      </c>
      <c r="B8" s="7" t="s">
        <v>673</v>
      </c>
      <c r="C8" s="7" t="s">
        <v>444</v>
      </c>
      <c r="D8" s="7" t="s">
        <v>684</v>
      </c>
      <c r="E8" s="7">
        <v>8</v>
      </c>
      <c r="F8" s="7">
        <v>62</v>
      </c>
      <c r="G8" s="7">
        <f t="shared" si="0"/>
        <v>496</v>
      </c>
      <c r="H8" s="7" t="s">
        <v>190</v>
      </c>
      <c r="I8" s="7" t="s">
        <v>471</v>
      </c>
      <c r="J8" s="38" t="s">
        <v>176</v>
      </c>
      <c r="K8" s="7"/>
      <c r="L8" s="7"/>
      <c r="M8" s="7"/>
    </row>
    <row r="9" spans="1:14">
      <c r="A9" s="6">
        <v>45966</v>
      </c>
      <c r="B9" s="7" t="s">
        <v>673</v>
      </c>
      <c r="C9" s="7" t="s">
        <v>444</v>
      </c>
      <c r="D9" s="7" t="s">
        <v>685</v>
      </c>
      <c r="E9" s="7">
        <v>4</v>
      </c>
      <c r="F9" s="7">
        <v>62</v>
      </c>
      <c r="G9" s="7">
        <f t="shared" si="0"/>
        <v>248</v>
      </c>
      <c r="H9" s="7" t="s">
        <v>190</v>
      </c>
      <c r="I9" s="7" t="s">
        <v>471</v>
      </c>
      <c r="J9" s="38" t="s">
        <v>176</v>
      </c>
      <c r="K9" s="7"/>
      <c r="L9" s="7"/>
      <c r="M9" s="7"/>
    </row>
    <row r="10" spans="1:14">
      <c r="A10" s="6">
        <v>45966</v>
      </c>
      <c r="B10" s="7" t="s">
        <v>673</v>
      </c>
      <c r="C10" s="7" t="s">
        <v>444</v>
      </c>
      <c r="D10" s="7" t="s">
        <v>686</v>
      </c>
      <c r="E10" s="7">
        <v>1</v>
      </c>
      <c r="F10" s="7">
        <v>62</v>
      </c>
      <c r="G10" s="7">
        <f t="shared" si="0"/>
        <v>62</v>
      </c>
      <c r="H10" s="7" t="s">
        <v>190</v>
      </c>
      <c r="I10" s="7" t="s">
        <v>468</v>
      </c>
      <c r="J10" s="38" t="s">
        <v>176</v>
      </c>
      <c r="K10" s="7"/>
      <c r="L10" s="7"/>
      <c r="M10" s="7"/>
    </row>
    <row r="11" spans="1:14">
      <c r="A11" s="6">
        <v>45966</v>
      </c>
      <c r="B11" s="7" t="s">
        <v>673</v>
      </c>
      <c r="C11" s="7" t="s">
        <v>444</v>
      </c>
      <c r="D11" s="7" t="s">
        <v>687</v>
      </c>
      <c r="E11" s="7">
        <v>1</v>
      </c>
      <c r="F11" s="7">
        <v>62</v>
      </c>
      <c r="G11" s="7">
        <f t="shared" si="0"/>
        <v>62</v>
      </c>
      <c r="H11" s="7" t="s">
        <v>190</v>
      </c>
      <c r="I11" s="7" t="s">
        <v>468</v>
      </c>
      <c r="J11" s="38" t="s">
        <v>176</v>
      </c>
      <c r="K11" s="7"/>
      <c r="L11" s="7"/>
      <c r="M11" s="7"/>
    </row>
    <row r="12" spans="1:14">
      <c r="A12" s="6">
        <v>45966</v>
      </c>
      <c r="B12" s="7" t="s">
        <v>673</v>
      </c>
      <c r="C12" s="7" t="s">
        <v>466</v>
      </c>
      <c r="D12" s="7" t="s">
        <v>688</v>
      </c>
      <c r="E12" s="7">
        <v>3</v>
      </c>
      <c r="F12" s="7">
        <v>62</v>
      </c>
      <c r="G12" s="7">
        <f t="shared" si="0"/>
        <v>186</v>
      </c>
      <c r="H12" s="7" t="s">
        <v>190</v>
      </c>
      <c r="I12" s="7" t="s">
        <v>471</v>
      </c>
      <c r="J12" s="38" t="s">
        <v>176</v>
      </c>
      <c r="K12" s="7"/>
      <c r="L12" s="7"/>
      <c r="M12" s="7"/>
    </row>
    <row r="13" spans="1:14">
      <c r="A13" s="6">
        <v>45966</v>
      </c>
      <c r="B13" s="7" t="s">
        <v>673</v>
      </c>
      <c r="C13" s="7" t="s">
        <v>466</v>
      </c>
      <c r="D13" s="7" t="s">
        <v>689</v>
      </c>
      <c r="E13" s="7">
        <v>3</v>
      </c>
      <c r="F13" s="7">
        <v>62</v>
      </c>
      <c r="G13" s="7">
        <f t="shared" si="0"/>
        <v>186</v>
      </c>
      <c r="H13" s="7" t="s">
        <v>190</v>
      </c>
      <c r="I13" s="7" t="s">
        <v>471</v>
      </c>
      <c r="J13" s="38" t="s">
        <v>176</v>
      </c>
      <c r="K13" s="7"/>
      <c r="L13" s="7"/>
      <c r="M13" s="7"/>
    </row>
    <row r="14" spans="1:14">
      <c r="A14" s="6">
        <v>45966</v>
      </c>
      <c r="B14" s="7" t="s">
        <v>673</v>
      </c>
      <c r="C14" s="7" t="s">
        <v>466</v>
      </c>
      <c r="D14" s="7" t="s">
        <v>690</v>
      </c>
      <c r="E14" s="7">
        <v>14</v>
      </c>
      <c r="F14" s="7">
        <v>62</v>
      </c>
      <c r="G14" s="7">
        <f t="shared" si="0"/>
        <v>868</v>
      </c>
      <c r="H14" s="7" t="s">
        <v>190</v>
      </c>
      <c r="I14" s="7" t="s">
        <v>471</v>
      </c>
      <c r="J14" s="38" t="s">
        <v>176</v>
      </c>
      <c r="K14" s="7"/>
      <c r="L14" s="7"/>
      <c r="M14" s="7"/>
    </row>
    <row r="15" spans="1:14">
      <c r="A15" s="6">
        <v>45966</v>
      </c>
      <c r="B15" s="7" t="s">
        <v>673</v>
      </c>
      <c r="C15" s="7" t="s">
        <v>466</v>
      </c>
      <c r="D15" s="7" t="s">
        <v>691</v>
      </c>
      <c r="E15" s="7">
        <v>12</v>
      </c>
      <c r="F15" s="7">
        <v>62</v>
      </c>
      <c r="G15" s="7">
        <f t="shared" si="0"/>
        <v>744</v>
      </c>
      <c r="H15" s="7" t="s">
        <v>190</v>
      </c>
      <c r="I15" s="7" t="s">
        <v>471</v>
      </c>
      <c r="J15" s="38" t="s">
        <v>176</v>
      </c>
      <c r="K15" s="7"/>
      <c r="L15" s="7"/>
      <c r="M15" s="7"/>
    </row>
    <row r="16" spans="1:14">
      <c r="A16" s="6">
        <v>45966</v>
      </c>
      <c r="B16" s="7" t="s">
        <v>673</v>
      </c>
      <c r="C16" s="7" t="s">
        <v>466</v>
      </c>
      <c r="D16" s="7" t="s">
        <v>692</v>
      </c>
      <c r="E16" s="7">
        <v>20</v>
      </c>
      <c r="F16" s="7">
        <v>62</v>
      </c>
      <c r="G16" s="7">
        <f t="shared" si="0"/>
        <v>1240</v>
      </c>
      <c r="H16" s="7" t="s">
        <v>190</v>
      </c>
      <c r="I16" s="7" t="s">
        <v>471</v>
      </c>
      <c r="J16" s="38" t="s">
        <v>176</v>
      </c>
      <c r="K16" s="7"/>
      <c r="L16" s="7"/>
      <c r="M16" s="7"/>
    </row>
    <row r="17" spans="1:13">
      <c r="A17" s="6">
        <v>45966</v>
      </c>
      <c r="B17" s="7" t="s">
        <v>673</v>
      </c>
      <c r="C17" s="14" t="s">
        <v>466</v>
      </c>
      <c r="D17" s="14" t="s">
        <v>693</v>
      </c>
      <c r="E17" s="7">
        <v>2</v>
      </c>
      <c r="F17" s="7">
        <v>62</v>
      </c>
      <c r="G17" s="7">
        <f t="shared" si="0"/>
        <v>124</v>
      </c>
      <c r="H17" s="7" t="s">
        <v>190</v>
      </c>
      <c r="I17" s="7" t="s">
        <v>471</v>
      </c>
      <c r="J17" s="38" t="s">
        <v>176</v>
      </c>
      <c r="K17" s="7"/>
      <c r="L17" s="7"/>
      <c r="M17" s="7"/>
    </row>
    <row r="18" spans="1:13">
      <c r="A18" s="6">
        <v>45966</v>
      </c>
      <c r="B18" s="7" t="s">
        <v>673</v>
      </c>
      <c r="C18" s="14" t="s">
        <v>466</v>
      </c>
      <c r="D18" s="14" t="s">
        <v>694</v>
      </c>
      <c r="E18" s="7">
        <v>4</v>
      </c>
      <c r="F18" s="7">
        <v>62</v>
      </c>
      <c r="G18" s="7">
        <f t="shared" si="0"/>
        <v>248</v>
      </c>
      <c r="H18" s="7" t="s">
        <v>190</v>
      </c>
      <c r="I18" s="7" t="s">
        <v>471</v>
      </c>
      <c r="J18" s="38" t="s">
        <v>176</v>
      </c>
      <c r="K18" s="7"/>
      <c r="L18" s="7"/>
      <c r="M18" s="7"/>
    </row>
    <row r="19" spans="1:13">
      <c r="A19" s="6">
        <v>45966</v>
      </c>
      <c r="B19" s="7" t="s">
        <v>673</v>
      </c>
      <c r="C19" s="14" t="s">
        <v>466</v>
      </c>
      <c r="D19" s="14" t="s">
        <v>695</v>
      </c>
      <c r="E19" s="7">
        <v>26</v>
      </c>
      <c r="F19" s="7">
        <v>62</v>
      </c>
      <c r="G19" s="7">
        <f t="shared" si="0"/>
        <v>1612</v>
      </c>
      <c r="H19" s="7" t="s">
        <v>190</v>
      </c>
      <c r="I19" s="7" t="s">
        <v>471</v>
      </c>
      <c r="J19" s="38" t="s">
        <v>176</v>
      </c>
      <c r="K19" s="7"/>
      <c r="L19" s="7"/>
      <c r="M19" s="7"/>
    </row>
    <row r="20" spans="1:13">
      <c r="A20" s="6">
        <v>45966</v>
      </c>
      <c r="B20" s="7" t="s">
        <v>673</v>
      </c>
      <c r="C20" s="7" t="s">
        <v>466</v>
      </c>
      <c r="D20" s="7" t="s">
        <v>696</v>
      </c>
      <c r="E20" s="7">
        <v>1</v>
      </c>
      <c r="F20" s="7">
        <v>62</v>
      </c>
      <c r="G20" s="7">
        <f t="shared" si="0"/>
        <v>62</v>
      </c>
      <c r="H20" s="7" t="s">
        <v>190</v>
      </c>
      <c r="I20" s="7" t="s">
        <v>471</v>
      </c>
      <c r="J20" s="38" t="s">
        <v>176</v>
      </c>
      <c r="K20" s="7"/>
      <c r="L20" s="7"/>
      <c r="M20" s="7"/>
    </row>
    <row r="21" spans="1:13">
      <c r="A21" s="6">
        <v>45966</v>
      </c>
      <c r="B21" s="7" t="s">
        <v>673</v>
      </c>
      <c r="C21" s="7" t="s">
        <v>466</v>
      </c>
      <c r="D21" s="7" t="s">
        <v>697</v>
      </c>
      <c r="E21" s="7">
        <v>1</v>
      </c>
      <c r="F21" s="7">
        <v>62</v>
      </c>
      <c r="G21" s="7">
        <f t="shared" si="0"/>
        <v>62</v>
      </c>
      <c r="H21" s="7" t="s">
        <v>190</v>
      </c>
      <c r="I21" s="7" t="s">
        <v>471</v>
      </c>
      <c r="J21" s="38" t="s">
        <v>176</v>
      </c>
      <c r="K21" s="7"/>
      <c r="L21" s="7"/>
      <c r="M21" s="7"/>
    </row>
    <row r="22" spans="1:13">
      <c r="A22" s="6">
        <v>45966</v>
      </c>
      <c r="B22" s="7" t="s">
        <v>673</v>
      </c>
      <c r="C22" s="7" t="s">
        <v>466</v>
      </c>
      <c r="D22" s="7" t="s">
        <v>698</v>
      </c>
      <c r="E22" s="7">
        <v>1</v>
      </c>
      <c r="F22" s="7">
        <v>62</v>
      </c>
      <c r="G22" s="7">
        <f t="shared" si="0"/>
        <v>62</v>
      </c>
      <c r="H22" s="7" t="s">
        <v>190</v>
      </c>
      <c r="I22" s="7" t="s">
        <v>468</v>
      </c>
      <c r="J22" s="38" t="s">
        <v>176</v>
      </c>
      <c r="K22" s="7"/>
      <c r="L22" s="7"/>
      <c r="M22" s="7"/>
    </row>
    <row r="23" spans="1:13">
      <c r="A23" s="6">
        <v>45966</v>
      </c>
      <c r="B23" s="7" t="s">
        <v>673</v>
      </c>
      <c r="C23" s="7" t="s">
        <v>466</v>
      </c>
      <c r="D23" s="7" t="s">
        <v>699</v>
      </c>
      <c r="E23" s="7">
        <v>1</v>
      </c>
      <c r="F23" s="7">
        <v>62</v>
      </c>
      <c r="G23" s="7">
        <f t="shared" si="0"/>
        <v>62</v>
      </c>
      <c r="H23" s="7" t="s">
        <v>190</v>
      </c>
      <c r="I23" s="7" t="s">
        <v>700</v>
      </c>
      <c r="J23" s="38" t="s">
        <v>176</v>
      </c>
      <c r="K23" s="7"/>
      <c r="L23" s="7"/>
      <c r="M23" s="7"/>
    </row>
    <row r="24" spans="1:13">
      <c r="A24" s="6">
        <v>45966</v>
      </c>
      <c r="B24" s="7" t="s">
        <v>673</v>
      </c>
      <c r="C24" s="7" t="s">
        <v>466</v>
      </c>
      <c r="D24" s="7" t="s">
        <v>701</v>
      </c>
      <c r="E24" s="7">
        <v>3</v>
      </c>
      <c r="F24" s="7">
        <v>62</v>
      </c>
      <c r="G24" s="7">
        <f t="shared" si="0"/>
        <v>186</v>
      </c>
      <c r="H24" s="7" t="s">
        <v>190</v>
      </c>
      <c r="I24" s="7" t="s">
        <v>471</v>
      </c>
      <c r="J24" s="38" t="s">
        <v>176</v>
      </c>
      <c r="K24" s="7"/>
      <c r="L24" s="7"/>
      <c r="M24" s="7"/>
    </row>
    <row r="25" spans="1:13">
      <c r="A25" s="6">
        <v>45966</v>
      </c>
      <c r="B25" s="7" t="s">
        <v>673</v>
      </c>
      <c r="C25" s="7" t="s">
        <v>466</v>
      </c>
      <c r="D25" s="7" t="s">
        <v>702</v>
      </c>
      <c r="E25" s="7">
        <v>1</v>
      </c>
      <c r="F25" s="7">
        <v>62</v>
      </c>
      <c r="G25" s="7">
        <f t="shared" si="0"/>
        <v>62</v>
      </c>
      <c r="H25" s="7" t="s">
        <v>190</v>
      </c>
      <c r="I25" s="7" t="s">
        <v>471</v>
      </c>
      <c r="J25" s="38" t="s">
        <v>176</v>
      </c>
      <c r="K25" s="7"/>
      <c r="L25" s="7"/>
      <c r="M25" s="7"/>
    </row>
    <row r="26" spans="1:13">
      <c r="A26" s="6">
        <v>45966</v>
      </c>
      <c r="B26" s="7" t="s">
        <v>673</v>
      </c>
      <c r="C26" s="7" t="s">
        <v>466</v>
      </c>
      <c r="D26" s="7" t="s">
        <v>703</v>
      </c>
      <c r="E26" s="7">
        <v>1</v>
      </c>
      <c r="F26" s="7">
        <v>62</v>
      </c>
      <c r="G26" s="7">
        <f t="shared" si="0"/>
        <v>62</v>
      </c>
      <c r="H26" s="7" t="s">
        <v>190</v>
      </c>
      <c r="I26" s="7" t="s">
        <v>471</v>
      </c>
      <c r="J26" s="38" t="s">
        <v>176</v>
      </c>
      <c r="K26" s="7"/>
      <c r="L26" s="7"/>
      <c r="M26" s="7"/>
    </row>
    <row r="27" spans="1:13">
      <c r="A27" s="6">
        <v>45966</v>
      </c>
      <c r="B27" s="7" t="s">
        <v>673</v>
      </c>
      <c r="C27" s="7" t="s">
        <v>466</v>
      </c>
      <c r="D27" s="7" t="s">
        <v>704</v>
      </c>
      <c r="E27" s="7">
        <v>1</v>
      </c>
      <c r="F27" s="7">
        <v>62</v>
      </c>
      <c r="G27" s="7">
        <f t="shared" si="0"/>
        <v>62</v>
      </c>
      <c r="H27" s="7" t="s">
        <v>190</v>
      </c>
      <c r="I27" s="7" t="s">
        <v>468</v>
      </c>
      <c r="J27" s="38" t="s">
        <v>176</v>
      </c>
      <c r="K27" s="7"/>
      <c r="L27" s="7"/>
      <c r="M27" s="7"/>
    </row>
    <row r="28" spans="1:13">
      <c r="A28" s="6">
        <v>45966</v>
      </c>
      <c r="B28" s="7" t="s">
        <v>673</v>
      </c>
      <c r="C28" s="7" t="s">
        <v>466</v>
      </c>
      <c r="D28" s="7" t="s">
        <v>705</v>
      </c>
      <c r="E28" s="7">
        <v>1</v>
      </c>
      <c r="F28" s="7">
        <v>62</v>
      </c>
      <c r="G28" s="7">
        <f t="shared" si="0"/>
        <v>62</v>
      </c>
      <c r="H28" s="7" t="s">
        <v>190</v>
      </c>
      <c r="I28" s="7" t="s">
        <v>471</v>
      </c>
      <c r="J28" s="38" t="s">
        <v>176</v>
      </c>
      <c r="K28" s="7"/>
      <c r="L28" s="7"/>
      <c r="M28" s="7"/>
    </row>
    <row r="29" spans="1:13">
      <c r="A29" s="6">
        <v>45966</v>
      </c>
      <c r="B29" s="7" t="s">
        <v>673</v>
      </c>
      <c r="C29" s="7" t="s">
        <v>466</v>
      </c>
      <c r="D29" s="7" t="s">
        <v>706</v>
      </c>
      <c r="E29" s="7">
        <v>1</v>
      </c>
      <c r="F29" s="7">
        <v>62</v>
      </c>
      <c r="G29" s="7">
        <f t="shared" si="0"/>
        <v>62</v>
      </c>
      <c r="H29" s="7" t="s">
        <v>190</v>
      </c>
      <c r="I29" s="7" t="s">
        <v>707</v>
      </c>
      <c r="J29" s="38" t="s">
        <v>176</v>
      </c>
      <c r="K29" s="7"/>
      <c r="L29" s="7"/>
      <c r="M29" s="7"/>
    </row>
    <row r="30" spans="1:13">
      <c r="A30" s="6">
        <v>45966</v>
      </c>
      <c r="B30" s="7" t="s">
        <v>673</v>
      </c>
      <c r="C30" s="7" t="s">
        <v>466</v>
      </c>
      <c r="D30" s="7" t="s">
        <v>708</v>
      </c>
      <c r="E30" s="7">
        <v>3</v>
      </c>
      <c r="F30" s="7">
        <v>62</v>
      </c>
      <c r="G30" s="7">
        <f t="shared" si="0"/>
        <v>186</v>
      </c>
      <c r="H30" s="7" t="s">
        <v>190</v>
      </c>
      <c r="I30" s="7" t="s">
        <v>471</v>
      </c>
      <c r="J30" s="38" t="s">
        <v>176</v>
      </c>
      <c r="K30" s="7"/>
      <c r="L30" s="7"/>
      <c r="M30" s="7"/>
    </row>
    <row r="31" spans="1:13">
      <c r="A31" s="6">
        <v>45966</v>
      </c>
      <c r="B31" s="7" t="s">
        <v>673</v>
      </c>
      <c r="C31" s="7" t="s">
        <v>466</v>
      </c>
      <c r="D31" s="7" t="s">
        <v>709</v>
      </c>
      <c r="E31" s="7">
        <v>9</v>
      </c>
      <c r="F31" s="7">
        <v>62</v>
      </c>
      <c r="G31" s="7">
        <f t="shared" si="0"/>
        <v>558</v>
      </c>
      <c r="H31" s="7" t="s">
        <v>190</v>
      </c>
      <c r="I31" s="7" t="s">
        <v>468</v>
      </c>
      <c r="J31" s="38" t="s">
        <v>176</v>
      </c>
      <c r="K31" s="7"/>
      <c r="L31" s="7"/>
      <c r="M31" s="7"/>
    </row>
    <row r="32" spans="1:13">
      <c r="A32" s="6">
        <v>45966</v>
      </c>
      <c r="B32" s="7" t="s">
        <v>673</v>
      </c>
      <c r="C32" s="7" t="s">
        <v>466</v>
      </c>
      <c r="D32" s="7" t="s">
        <v>710</v>
      </c>
      <c r="E32" s="7">
        <v>1</v>
      </c>
      <c r="F32" s="7">
        <v>62</v>
      </c>
      <c r="G32" s="7">
        <f t="shared" si="0"/>
        <v>62</v>
      </c>
      <c r="H32" s="7" t="s">
        <v>190</v>
      </c>
      <c r="I32" s="7" t="s">
        <v>711</v>
      </c>
      <c r="J32" s="38" t="s">
        <v>176</v>
      </c>
      <c r="K32" s="7"/>
      <c r="L32" s="7"/>
      <c r="M32" s="7"/>
    </row>
    <row r="33" spans="1:13">
      <c r="A33" s="6">
        <v>45966</v>
      </c>
      <c r="B33" s="7" t="s">
        <v>673</v>
      </c>
      <c r="C33" s="7" t="s">
        <v>466</v>
      </c>
      <c r="D33" s="7" t="s">
        <v>712</v>
      </c>
      <c r="E33" s="7">
        <v>1</v>
      </c>
      <c r="F33" s="7">
        <v>62</v>
      </c>
      <c r="G33" s="7">
        <f t="shared" si="0"/>
        <v>62</v>
      </c>
      <c r="H33" s="7" t="s">
        <v>190</v>
      </c>
      <c r="I33" s="7" t="s">
        <v>468</v>
      </c>
      <c r="J33" s="38" t="s">
        <v>176</v>
      </c>
      <c r="K33" s="7"/>
      <c r="L33" s="7"/>
      <c r="M33" s="7"/>
    </row>
    <row r="34" spans="1:13">
      <c r="A34" s="6">
        <v>45966</v>
      </c>
      <c r="B34" s="7" t="s">
        <v>673</v>
      </c>
      <c r="C34" s="7" t="s">
        <v>466</v>
      </c>
      <c r="D34" s="7" t="s">
        <v>713</v>
      </c>
      <c r="E34" s="7">
        <v>1</v>
      </c>
      <c r="F34" s="7">
        <v>62</v>
      </c>
      <c r="G34" s="7">
        <f t="shared" si="0"/>
        <v>62</v>
      </c>
      <c r="H34" s="7" t="s">
        <v>190</v>
      </c>
      <c r="I34" s="7" t="s">
        <v>468</v>
      </c>
      <c r="J34" s="38" t="s">
        <v>176</v>
      </c>
      <c r="K34" s="7"/>
      <c r="L34" s="7"/>
      <c r="M34" s="7"/>
    </row>
    <row r="35" spans="1:13">
      <c r="A35" s="6">
        <v>45966</v>
      </c>
      <c r="B35" s="7" t="s">
        <v>673</v>
      </c>
      <c r="C35" s="7" t="s">
        <v>444</v>
      </c>
      <c r="D35" s="7" t="s">
        <v>714</v>
      </c>
      <c r="E35" s="7">
        <v>2</v>
      </c>
      <c r="F35" s="7">
        <v>62</v>
      </c>
      <c r="G35" s="7">
        <f t="shared" si="0"/>
        <v>124</v>
      </c>
      <c r="H35" s="7" t="s">
        <v>190</v>
      </c>
      <c r="I35" s="7" t="s">
        <v>468</v>
      </c>
      <c r="J35" s="38" t="s">
        <v>176</v>
      </c>
      <c r="K35" s="7"/>
      <c r="L35" s="7"/>
      <c r="M35" s="7"/>
    </row>
    <row r="36" spans="1:13">
      <c r="A36" s="6">
        <v>45966</v>
      </c>
      <c r="B36" s="7" t="s">
        <v>673</v>
      </c>
      <c r="C36" s="7" t="s">
        <v>444</v>
      </c>
      <c r="D36" s="7" t="s">
        <v>715</v>
      </c>
      <c r="E36" s="7">
        <v>1</v>
      </c>
      <c r="F36" s="7">
        <v>62</v>
      </c>
      <c r="G36" s="7">
        <f t="shared" si="0"/>
        <v>62</v>
      </c>
      <c r="H36" s="7" t="s">
        <v>190</v>
      </c>
      <c r="I36" s="7" t="s">
        <v>468</v>
      </c>
      <c r="J36" s="38" t="s">
        <v>176</v>
      </c>
      <c r="K36" s="7"/>
      <c r="L36" s="7"/>
      <c r="M36" s="7"/>
    </row>
    <row r="37" spans="1:13">
      <c r="A37" s="6">
        <v>45966</v>
      </c>
      <c r="B37" s="7" t="s">
        <v>673</v>
      </c>
      <c r="C37" s="7" t="s">
        <v>444</v>
      </c>
      <c r="D37" s="7" t="s">
        <v>716</v>
      </c>
      <c r="E37" s="7">
        <v>20</v>
      </c>
      <c r="F37" s="7">
        <v>62</v>
      </c>
      <c r="G37" s="7">
        <f t="shared" si="0"/>
        <v>1240</v>
      </c>
      <c r="H37" s="7" t="s">
        <v>190</v>
      </c>
      <c r="I37" s="7" t="s">
        <v>468</v>
      </c>
      <c r="J37" s="38" t="s">
        <v>176</v>
      </c>
      <c r="K37" s="7"/>
      <c r="L37" s="7"/>
      <c r="M37" s="7"/>
    </row>
    <row r="38" spans="1:13">
      <c r="A38" s="6">
        <v>45966</v>
      </c>
      <c r="B38" s="7" t="s">
        <v>673</v>
      </c>
      <c r="C38" s="7" t="s">
        <v>444</v>
      </c>
      <c r="D38" s="7" t="s">
        <v>717</v>
      </c>
      <c r="E38" s="7">
        <v>4</v>
      </c>
      <c r="F38" s="7">
        <v>62</v>
      </c>
      <c r="G38" s="7">
        <f t="shared" ref="G38:G65" si="1">F38*E38</f>
        <v>248</v>
      </c>
      <c r="H38" s="7" t="s">
        <v>190</v>
      </c>
      <c r="I38" s="7" t="s">
        <v>468</v>
      </c>
      <c r="J38" s="38" t="s">
        <v>176</v>
      </c>
      <c r="K38" s="7"/>
      <c r="L38" s="7"/>
      <c r="M38" s="7"/>
    </row>
    <row r="39" spans="1:13">
      <c r="A39" s="6">
        <v>45966</v>
      </c>
      <c r="B39" s="7" t="s">
        <v>673</v>
      </c>
      <c r="C39" s="14" t="s">
        <v>718</v>
      </c>
      <c r="D39" s="14" t="s">
        <v>719</v>
      </c>
      <c r="E39" s="7">
        <v>1</v>
      </c>
      <c r="F39" s="7">
        <v>62</v>
      </c>
      <c r="G39" s="7">
        <f t="shared" si="1"/>
        <v>62</v>
      </c>
      <c r="H39" s="7" t="s">
        <v>190</v>
      </c>
      <c r="I39" s="7" t="s">
        <v>720</v>
      </c>
      <c r="J39" s="38" t="s">
        <v>176</v>
      </c>
      <c r="K39" s="7"/>
      <c r="L39" s="7"/>
      <c r="M39" s="7"/>
    </row>
    <row r="40" spans="1:13">
      <c r="A40" s="6">
        <v>45966</v>
      </c>
      <c r="B40" s="7" t="s">
        <v>673</v>
      </c>
      <c r="C40" s="14" t="s">
        <v>548</v>
      </c>
      <c r="D40" s="14" t="s">
        <v>549</v>
      </c>
      <c r="E40" s="7">
        <v>1</v>
      </c>
      <c r="F40" s="7">
        <v>62</v>
      </c>
      <c r="G40" s="7">
        <f t="shared" si="1"/>
        <v>62</v>
      </c>
      <c r="H40" s="7" t="s">
        <v>190</v>
      </c>
      <c r="I40" s="7" t="s">
        <v>545</v>
      </c>
      <c r="J40" s="38" t="s">
        <v>176</v>
      </c>
      <c r="K40" s="7"/>
      <c r="L40" s="7"/>
      <c r="M40" s="7"/>
    </row>
    <row r="41" spans="1:13">
      <c r="A41" s="6">
        <v>45966</v>
      </c>
      <c r="B41" s="7" t="s">
        <v>673</v>
      </c>
      <c r="C41" s="7" t="s">
        <v>466</v>
      </c>
      <c r="D41" s="7" t="s">
        <v>721</v>
      </c>
      <c r="E41" s="7">
        <v>1</v>
      </c>
      <c r="F41" s="7">
        <v>62</v>
      </c>
      <c r="G41" s="7">
        <f t="shared" si="1"/>
        <v>62</v>
      </c>
      <c r="H41" s="7" t="s">
        <v>190</v>
      </c>
      <c r="I41" s="7" t="s">
        <v>471</v>
      </c>
      <c r="J41" s="38" t="s">
        <v>176</v>
      </c>
      <c r="K41" s="7"/>
      <c r="L41" s="7"/>
      <c r="M41" s="7"/>
    </row>
    <row r="42" spans="1:13">
      <c r="A42" s="6">
        <v>45966</v>
      </c>
      <c r="B42" s="7" t="s">
        <v>673</v>
      </c>
      <c r="C42" s="7" t="s">
        <v>466</v>
      </c>
      <c r="D42" s="7" t="s">
        <v>722</v>
      </c>
      <c r="E42" s="7">
        <v>1</v>
      </c>
      <c r="F42" s="7">
        <v>62</v>
      </c>
      <c r="G42" s="7">
        <f t="shared" si="1"/>
        <v>62</v>
      </c>
      <c r="H42" s="7" t="s">
        <v>190</v>
      </c>
      <c r="I42" s="7" t="s">
        <v>558</v>
      </c>
      <c r="J42" s="38" t="s">
        <v>176</v>
      </c>
      <c r="K42" s="7"/>
      <c r="L42" s="7"/>
      <c r="M42" s="7"/>
    </row>
    <row r="43" spans="1:13">
      <c r="A43" s="6">
        <v>45966</v>
      </c>
      <c r="B43" s="7" t="s">
        <v>673</v>
      </c>
      <c r="C43" s="7" t="s">
        <v>466</v>
      </c>
      <c r="D43" s="7" t="s">
        <v>723</v>
      </c>
      <c r="E43" s="7">
        <v>2</v>
      </c>
      <c r="F43" s="7">
        <v>62</v>
      </c>
      <c r="G43" s="7">
        <f t="shared" si="1"/>
        <v>124</v>
      </c>
      <c r="H43" s="7" t="s">
        <v>190</v>
      </c>
      <c r="I43" s="7" t="s">
        <v>468</v>
      </c>
      <c r="J43" s="14" t="s">
        <v>176</v>
      </c>
      <c r="K43" s="7"/>
      <c r="L43" s="7"/>
      <c r="M43" s="7"/>
    </row>
    <row r="44" spans="1:13">
      <c r="A44" s="6">
        <v>45966</v>
      </c>
      <c r="B44" s="7" t="s">
        <v>673</v>
      </c>
      <c r="C44" s="7" t="s">
        <v>466</v>
      </c>
      <c r="D44" s="7" t="s">
        <v>724</v>
      </c>
      <c r="E44" s="7">
        <v>1</v>
      </c>
      <c r="F44" s="7">
        <v>62</v>
      </c>
      <c r="G44" s="7">
        <f t="shared" si="1"/>
        <v>62</v>
      </c>
      <c r="H44" s="7" t="s">
        <v>190</v>
      </c>
      <c r="I44" s="7" t="s">
        <v>471</v>
      </c>
      <c r="J44" s="14" t="s">
        <v>176</v>
      </c>
      <c r="K44" s="7"/>
      <c r="L44" s="7"/>
      <c r="M44" s="7"/>
    </row>
    <row r="45" spans="1:13">
      <c r="A45" s="6">
        <v>45966</v>
      </c>
      <c r="B45" s="7" t="s">
        <v>673</v>
      </c>
      <c r="C45" s="7" t="s">
        <v>466</v>
      </c>
      <c r="D45" s="7" t="s">
        <v>725</v>
      </c>
      <c r="E45" s="7">
        <v>1</v>
      </c>
      <c r="F45" s="7">
        <v>62</v>
      </c>
      <c r="G45" s="7">
        <f t="shared" si="1"/>
        <v>62</v>
      </c>
      <c r="H45" s="7" t="s">
        <v>190</v>
      </c>
      <c r="I45" s="7" t="s">
        <v>471</v>
      </c>
      <c r="J45" s="14" t="s">
        <v>176</v>
      </c>
      <c r="K45" s="7"/>
      <c r="L45" s="7"/>
      <c r="M45" s="7"/>
    </row>
    <row r="46" spans="1:13">
      <c r="A46" s="6">
        <v>45966</v>
      </c>
      <c r="B46" s="7" t="s">
        <v>673</v>
      </c>
      <c r="C46" s="7" t="s">
        <v>466</v>
      </c>
      <c r="D46" s="7" t="s">
        <v>726</v>
      </c>
      <c r="E46" s="7">
        <v>1</v>
      </c>
      <c r="F46" s="7">
        <v>62</v>
      </c>
      <c r="G46" s="7">
        <f t="shared" si="1"/>
        <v>62</v>
      </c>
      <c r="H46" s="7" t="s">
        <v>190</v>
      </c>
      <c r="I46" s="7" t="s">
        <v>468</v>
      </c>
      <c r="J46" s="14" t="s">
        <v>176</v>
      </c>
      <c r="K46" s="7"/>
      <c r="L46" s="7"/>
      <c r="M46" s="7"/>
    </row>
    <row r="47" spans="1:13">
      <c r="A47" s="6">
        <v>45966</v>
      </c>
      <c r="B47" s="7" t="s">
        <v>673</v>
      </c>
      <c r="C47" s="7" t="s">
        <v>466</v>
      </c>
      <c r="D47" s="7" t="s">
        <v>727</v>
      </c>
      <c r="E47" s="7">
        <v>3</v>
      </c>
      <c r="F47" s="7">
        <v>62</v>
      </c>
      <c r="G47" s="7">
        <f t="shared" si="1"/>
        <v>186</v>
      </c>
      <c r="H47" s="7" t="s">
        <v>190</v>
      </c>
      <c r="I47" s="7" t="s">
        <v>77</v>
      </c>
      <c r="J47" s="14" t="s">
        <v>176</v>
      </c>
      <c r="K47" s="7"/>
      <c r="L47" s="7"/>
      <c r="M47" s="7"/>
    </row>
    <row r="48" spans="1:13">
      <c r="A48" s="6">
        <v>45966</v>
      </c>
      <c r="B48" s="7" t="s">
        <v>673</v>
      </c>
      <c r="C48" s="7" t="s">
        <v>444</v>
      </c>
      <c r="D48" s="7" t="s">
        <v>728</v>
      </c>
      <c r="E48" s="7">
        <v>4</v>
      </c>
      <c r="F48" s="7">
        <v>62</v>
      </c>
      <c r="G48" s="7">
        <f t="shared" si="1"/>
        <v>248</v>
      </c>
      <c r="H48" s="7" t="s">
        <v>190</v>
      </c>
      <c r="I48" s="7" t="s">
        <v>468</v>
      </c>
      <c r="J48" s="14" t="s">
        <v>176</v>
      </c>
      <c r="K48" s="7"/>
      <c r="L48" s="7"/>
      <c r="M48" s="7"/>
    </row>
    <row r="49" spans="1:13">
      <c r="A49" s="6">
        <v>45966</v>
      </c>
      <c r="B49" s="7" t="s">
        <v>673</v>
      </c>
      <c r="C49" s="7" t="s">
        <v>444</v>
      </c>
      <c r="D49" s="7" t="s">
        <v>729</v>
      </c>
      <c r="E49" s="7">
        <v>1</v>
      </c>
      <c r="F49" s="7">
        <v>62</v>
      </c>
      <c r="G49" s="7">
        <f t="shared" si="1"/>
        <v>62</v>
      </c>
      <c r="H49" s="7" t="s">
        <v>190</v>
      </c>
      <c r="I49" s="7" t="s">
        <v>471</v>
      </c>
      <c r="J49" s="14" t="s">
        <v>176</v>
      </c>
      <c r="K49" s="7"/>
      <c r="L49" s="7"/>
      <c r="M49" s="7"/>
    </row>
    <row r="50" spans="1:13">
      <c r="A50" s="6">
        <v>45966</v>
      </c>
      <c r="B50" s="7" t="s">
        <v>673</v>
      </c>
      <c r="C50" s="7" t="s">
        <v>444</v>
      </c>
      <c r="D50" s="7" t="s">
        <v>730</v>
      </c>
      <c r="E50" s="7">
        <v>2</v>
      </c>
      <c r="F50" s="7">
        <v>62</v>
      </c>
      <c r="G50" s="7">
        <f t="shared" si="1"/>
        <v>124</v>
      </c>
      <c r="H50" s="7" t="s">
        <v>190</v>
      </c>
      <c r="I50" s="7" t="s">
        <v>468</v>
      </c>
      <c r="J50" s="14" t="s">
        <v>176</v>
      </c>
      <c r="K50" s="7"/>
      <c r="L50" s="7"/>
      <c r="M50" s="7"/>
    </row>
    <row r="51" spans="1:13">
      <c r="A51" s="6">
        <v>45966</v>
      </c>
      <c r="B51" s="7" t="s">
        <v>673</v>
      </c>
      <c r="C51" s="7" t="s">
        <v>444</v>
      </c>
      <c r="D51" s="7" t="s">
        <v>731</v>
      </c>
      <c r="E51" s="7">
        <v>2</v>
      </c>
      <c r="F51" s="7">
        <v>62</v>
      </c>
      <c r="G51" s="7">
        <f t="shared" si="1"/>
        <v>124</v>
      </c>
      <c r="H51" s="7" t="s">
        <v>190</v>
      </c>
      <c r="I51" s="7" t="s">
        <v>471</v>
      </c>
      <c r="J51" s="14" t="s">
        <v>176</v>
      </c>
      <c r="K51" s="7"/>
      <c r="L51" s="7"/>
      <c r="M51" s="7"/>
    </row>
    <row r="52" spans="1:13">
      <c r="A52" s="6">
        <v>45966</v>
      </c>
      <c r="B52" s="7" t="s">
        <v>673</v>
      </c>
      <c r="C52" s="14" t="s">
        <v>447</v>
      </c>
      <c r="D52" s="14" t="s">
        <v>732</v>
      </c>
      <c r="E52" s="7">
        <v>7</v>
      </c>
      <c r="F52" s="7">
        <v>62</v>
      </c>
      <c r="G52" s="7">
        <f t="shared" si="1"/>
        <v>434</v>
      </c>
      <c r="H52" s="7" t="s">
        <v>190</v>
      </c>
      <c r="I52" s="7" t="s">
        <v>733</v>
      </c>
      <c r="J52" s="14" t="s">
        <v>176</v>
      </c>
      <c r="K52" s="7"/>
      <c r="L52" s="7"/>
      <c r="M52" s="7"/>
    </row>
    <row r="53" spans="1:13">
      <c r="A53" s="6">
        <v>45966</v>
      </c>
      <c r="B53" s="7" t="s">
        <v>673</v>
      </c>
      <c r="C53" s="14" t="s">
        <v>734</v>
      </c>
      <c r="D53" s="14" t="s">
        <v>735</v>
      </c>
      <c r="E53" s="7">
        <v>3</v>
      </c>
      <c r="F53" s="7">
        <v>62</v>
      </c>
      <c r="G53" s="7">
        <f t="shared" si="1"/>
        <v>186</v>
      </c>
      <c r="H53" s="7" t="s">
        <v>190</v>
      </c>
      <c r="I53" s="7" t="s">
        <v>558</v>
      </c>
      <c r="J53" s="14" t="s">
        <v>176</v>
      </c>
      <c r="K53" s="7"/>
      <c r="L53" s="7"/>
      <c r="M53" s="7"/>
    </row>
    <row r="54" spans="1:13">
      <c r="A54" s="6">
        <v>45966</v>
      </c>
      <c r="B54" s="7" t="s">
        <v>673</v>
      </c>
      <c r="C54" s="14" t="s">
        <v>736</v>
      </c>
      <c r="D54" s="14" t="s">
        <v>737</v>
      </c>
      <c r="E54" s="7">
        <v>3</v>
      </c>
      <c r="F54" s="7">
        <v>62</v>
      </c>
      <c r="G54" s="7">
        <f t="shared" si="1"/>
        <v>186</v>
      </c>
      <c r="H54" s="7" t="s">
        <v>190</v>
      </c>
      <c r="I54" s="7" t="s">
        <v>558</v>
      </c>
      <c r="J54" s="14" t="s">
        <v>176</v>
      </c>
      <c r="K54" s="7"/>
      <c r="L54" s="7"/>
      <c r="M54" s="7"/>
    </row>
    <row r="55" spans="1:13">
      <c r="A55" s="6">
        <v>45966</v>
      </c>
      <c r="B55" s="7" t="s">
        <v>673</v>
      </c>
      <c r="C55" s="7" t="s">
        <v>738</v>
      </c>
      <c r="D55" s="7" t="s">
        <v>739</v>
      </c>
      <c r="E55" s="7">
        <v>1</v>
      </c>
      <c r="F55" s="7">
        <v>62</v>
      </c>
      <c r="G55" s="7">
        <f t="shared" si="1"/>
        <v>62</v>
      </c>
      <c r="H55" s="7" t="s">
        <v>190</v>
      </c>
      <c r="I55" s="7" t="s">
        <v>740</v>
      </c>
      <c r="J55" s="14" t="s">
        <v>176</v>
      </c>
      <c r="K55" s="7"/>
      <c r="L55" s="7"/>
      <c r="M55" s="7"/>
    </row>
    <row r="56" spans="1:13">
      <c r="A56" s="6">
        <v>45966</v>
      </c>
      <c r="B56" s="7" t="s">
        <v>673</v>
      </c>
      <c r="C56" s="7" t="s">
        <v>741</v>
      </c>
      <c r="D56" s="7" t="s">
        <v>742</v>
      </c>
      <c r="E56" s="7">
        <v>4</v>
      </c>
      <c r="F56" s="7">
        <v>62</v>
      </c>
      <c r="G56" s="7">
        <f t="shared" si="1"/>
        <v>248</v>
      </c>
      <c r="H56" s="7" t="s">
        <v>190</v>
      </c>
      <c r="I56" s="7" t="s">
        <v>743</v>
      </c>
      <c r="J56" s="14" t="s">
        <v>176</v>
      </c>
      <c r="K56" s="7"/>
      <c r="L56" s="7"/>
      <c r="M56" s="7"/>
    </row>
    <row r="57" spans="1:13">
      <c r="A57" s="6">
        <v>45966</v>
      </c>
      <c r="B57" s="7" t="s">
        <v>673</v>
      </c>
      <c r="C57" s="7" t="s">
        <v>744</v>
      </c>
      <c r="D57" s="7" t="s">
        <v>745</v>
      </c>
      <c r="E57" s="7">
        <v>1</v>
      </c>
      <c r="F57" s="7">
        <v>62</v>
      </c>
      <c r="G57" s="7">
        <f t="shared" si="1"/>
        <v>62</v>
      </c>
      <c r="H57" s="7" t="s">
        <v>190</v>
      </c>
      <c r="I57" s="7" t="s">
        <v>746</v>
      </c>
      <c r="J57" s="14" t="s">
        <v>176</v>
      </c>
      <c r="K57" s="7"/>
      <c r="L57" s="7"/>
      <c r="M57" s="7"/>
    </row>
    <row r="58" spans="1:13">
      <c r="A58" s="6">
        <v>45966</v>
      </c>
      <c r="B58" s="7" t="s">
        <v>673</v>
      </c>
      <c r="C58" s="14" t="s">
        <v>447</v>
      </c>
      <c r="D58" s="14" t="s">
        <v>747</v>
      </c>
      <c r="E58" s="7">
        <v>1</v>
      </c>
      <c r="F58" s="7">
        <v>62</v>
      </c>
      <c r="G58" s="7">
        <f t="shared" si="1"/>
        <v>62</v>
      </c>
      <c r="H58" s="7" t="s">
        <v>190</v>
      </c>
      <c r="I58" s="7" t="s">
        <v>471</v>
      </c>
      <c r="J58" s="14" t="s">
        <v>176</v>
      </c>
      <c r="K58" s="7"/>
      <c r="L58" s="7"/>
      <c r="M58" s="7"/>
    </row>
    <row r="59" spans="1:13">
      <c r="A59" s="6">
        <v>45966</v>
      </c>
      <c r="B59" s="7" t="s">
        <v>673</v>
      </c>
      <c r="C59" s="7" t="s">
        <v>447</v>
      </c>
      <c r="D59" s="7" t="s">
        <v>748</v>
      </c>
      <c r="E59" s="7">
        <v>1</v>
      </c>
      <c r="F59" s="7">
        <v>62</v>
      </c>
      <c r="G59" s="7">
        <f t="shared" si="1"/>
        <v>62</v>
      </c>
      <c r="H59" s="7" t="s">
        <v>190</v>
      </c>
      <c r="I59" s="7" t="s">
        <v>749</v>
      </c>
      <c r="J59" s="14" t="s">
        <v>176</v>
      </c>
      <c r="K59" s="7"/>
      <c r="L59" s="7"/>
      <c r="M59" s="7"/>
    </row>
    <row r="60" spans="1:13">
      <c r="A60" s="6">
        <v>45966</v>
      </c>
      <c r="B60" s="7" t="s">
        <v>673</v>
      </c>
      <c r="C60" s="7" t="s">
        <v>750</v>
      </c>
      <c r="D60" s="7" t="s">
        <v>751</v>
      </c>
      <c r="E60" s="7">
        <v>1</v>
      </c>
      <c r="F60" s="7">
        <v>62</v>
      </c>
      <c r="G60" s="7">
        <f t="shared" si="1"/>
        <v>62</v>
      </c>
      <c r="H60" s="7" t="s">
        <v>190</v>
      </c>
      <c r="I60" s="7" t="s">
        <v>752</v>
      </c>
      <c r="J60" s="14" t="s">
        <v>176</v>
      </c>
      <c r="K60" s="7"/>
      <c r="L60" s="7"/>
      <c r="M60" s="7"/>
    </row>
    <row r="61" spans="1:13">
      <c r="A61" s="6">
        <v>45966</v>
      </c>
      <c r="B61" s="7" t="s">
        <v>673</v>
      </c>
      <c r="C61" s="7" t="s">
        <v>753</v>
      </c>
      <c r="D61" s="7" t="s">
        <v>754</v>
      </c>
      <c r="E61" s="7">
        <v>7</v>
      </c>
      <c r="F61" s="7">
        <v>62</v>
      </c>
      <c r="G61" s="7">
        <f t="shared" si="1"/>
        <v>434</v>
      </c>
      <c r="H61" s="7" t="s">
        <v>190</v>
      </c>
      <c r="I61" s="7" t="s">
        <v>755</v>
      </c>
      <c r="J61" s="14" t="s">
        <v>176</v>
      </c>
      <c r="K61" s="7"/>
      <c r="L61" s="7"/>
      <c r="M61" s="7"/>
    </row>
    <row r="62" spans="1:13">
      <c r="A62" s="6">
        <v>45966</v>
      </c>
      <c r="B62" s="7" t="s">
        <v>673</v>
      </c>
      <c r="C62" s="7" t="s">
        <v>455</v>
      </c>
      <c r="D62" s="7" t="s">
        <v>756</v>
      </c>
      <c r="E62" s="7">
        <v>1</v>
      </c>
      <c r="F62" s="7">
        <v>62</v>
      </c>
      <c r="G62" s="7">
        <f t="shared" si="1"/>
        <v>62</v>
      </c>
      <c r="H62" s="7" t="s">
        <v>190</v>
      </c>
      <c r="I62" s="7" t="s">
        <v>757</v>
      </c>
      <c r="J62" s="14" t="s">
        <v>176</v>
      </c>
      <c r="K62" s="7"/>
      <c r="L62" s="7"/>
      <c r="M62" s="7"/>
    </row>
    <row r="63" spans="1:13">
      <c r="A63" s="6">
        <v>45966</v>
      </c>
      <c r="B63" s="7" t="s">
        <v>673</v>
      </c>
      <c r="C63" s="7" t="s">
        <v>758</v>
      </c>
      <c r="D63" s="7" t="s">
        <v>759</v>
      </c>
      <c r="E63" s="7">
        <v>1</v>
      </c>
      <c r="F63" s="7">
        <v>62</v>
      </c>
      <c r="G63" s="7">
        <f t="shared" si="1"/>
        <v>62</v>
      </c>
      <c r="H63" s="7" t="s">
        <v>190</v>
      </c>
      <c r="I63" s="7" t="s">
        <v>757</v>
      </c>
      <c r="J63" s="14" t="s">
        <v>176</v>
      </c>
      <c r="K63" s="7"/>
      <c r="L63" s="7"/>
      <c r="M63" s="7"/>
    </row>
    <row r="64" spans="1:13">
      <c r="A64" s="6">
        <v>45966</v>
      </c>
      <c r="B64" s="7" t="s">
        <v>673</v>
      </c>
      <c r="C64" s="7" t="s">
        <v>760</v>
      </c>
      <c r="D64" s="7" t="s">
        <v>761</v>
      </c>
      <c r="E64" s="7">
        <v>1</v>
      </c>
      <c r="F64" s="7">
        <v>62</v>
      </c>
      <c r="G64" s="7">
        <f t="shared" si="1"/>
        <v>62</v>
      </c>
      <c r="H64" s="7" t="s">
        <v>190</v>
      </c>
      <c r="I64" s="7" t="s">
        <v>762</v>
      </c>
      <c r="J64" s="14" t="s">
        <v>176</v>
      </c>
      <c r="K64" s="7"/>
      <c r="L64" s="7"/>
      <c r="M64" s="7"/>
    </row>
    <row r="65" spans="1:13">
      <c r="A65" s="6">
        <v>45966</v>
      </c>
      <c r="B65" s="7" t="s">
        <v>673</v>
      </c>
      <c r="C65" s="7" t="s">
        <v>455</v>
      </c>
      <c r="D65" s="7" t="s">
        <v>763</v>
      </c>
      <c r="E65" s="7">
        <v>1</v>
      </c>
      <c r="F65" s="7">
        <v>62</v>
      </c>
      <c r="G65" s="7">
        <f t="shared" si="1"/>
        <v>62</v>
      </c>
      <c r="H65" s="7" t="s">
        <v>190</v>
      </c>
      <c r="I65" s="7" t="s">
        <v>757</v>
      </c>
      <c r="J65" s="14" t="s">
        <v>176</v>
      </c>
      <c r="K65" s="7"/>
      <c r="L65" s="7"/>
      <c r="M65" s="7"/>
    </row>
    <row r="66" spans="1:13">
      <c r="A66" s="6">
        <v>45973</v>
      </c>
      <c r="B66" s="7" t="s">
        <v>673</v>
      </c>
      <c r="C66" s="7" t="s">
        <v>764</v>
      </c>
      <c r="D66" s="7" t="s">
        <v>765</v>
      </c>
      <c r="E66" s="7">
        <v>50</v>
      </c>
      <c r="F66" s="7">
        <v>1</v>
      </c>
      <c r="G66" s="7">
        <f t="shared" ref="G66:G84" si="2">F66*E66</f>
        <v>50</v>
      </c>
      <c r="H66" s="7" t="s">
        <v>190</v>
      </c>
      <c r="I66" s="7" t="s">
        <v>766</v>
      </c>
      <c r="J66" s="14" t="s">
        <v>176</v>
      </c>
      <c r="K66" s="7"/>
      <c r="L66" s="7"/>
      <c r="M66" s="7"/>
    </row>
    <row r="67" spans="1:13">
      <c r="A67" s="6">
        <v>45973</v>
      </c>
      <c r="B67" s="7" t="s">
        <v>673</v>
      </c>
      <c r="C67" s="7" t="s">
        <v>767</v>
      </c>
      <c r="D67" s="7" t="s">
        <v>768</v>
      </c>
      <c r="E67" s="7">
        <v>50</v>
      </c>
      <c r="F67" s="7">
        <v>1</v>
      </c>
      <c r="G67" s="7">
        <f t="shared" si="2"/>
        <v>50</v>
      </c>
      <c r="H67" s="7" t="s">
        <v>190</v>
      </c>
      <c r="I67" s="7" t="s">
        <v>769</v>
      </c>
      <c r="J67" s="14" t="s">
        <v>176</v>
      </c>
      <c r="K67" s="7"/>
      <c r="L67" s="7"/>
      <c r="M67" s="7"/>
    </row>
    <row r="68" spans="1:13">
      <c r="A68" s="6">
        <v>45973</v>
      </c>
      <c r="B68" s="7" t="s">
        <v>673</v>
      </c>
      <c r="C68" s="7" t="s">
        <v>677</v>
      </c>
      <c r="D68" s="7" t="s">
        <v>770</v>
      </c>
      <c r="E68" s="7">
        <v>60</v>
      </c>
      <c r="F68" s="7">
        <v>1</v>
      </c>
      <c r="G68" s="7">
        <f t="shared" si="2"/>
        <v>60</v>
      </c>
      <c r="H68" s="7" t="s">
        <v>190</v>
      </c>
      <c r="I68" s="7" t="s">
        <v>771</v>
      </c>
      <c r="J68" s="14" t="s">
        <v>176</v>
      </c>
      <c r="K68" s="7"/>
      <c r="L68" s="7"/>
      <c r="M68" s="7"/>
    </row>
    <row r="69" spans="1:13">
      <c r="A69" s="6">
        <v>45973</v>
      </c>
      <c r="B69" s="7" t="s">
        <v>673</v>
      </c>
      <c r="C69" s="7" t="s">
        <v>772</v>
      </c>
      <c r="D69" s="7" t="s">
        <v>773</v>
      </c>
      <c r="E69" s="7">
        <v>130</v>
      </c>
      <c r="F69" s="7">
        <v>1</v>
      </c>
      <c r="G69" s="7">
        <f t="shared" si="2"/>
        <v>130</v>
      </c>
      <c r="H69" s="7" t="s">
        <v>190</v>
      </c>
      <c r="I69" s="7" t="s">
        <v>774</v>
      </c>
      <c r="J69" s="14" t="s">
        <v>176</v>
      </c>
      <c r="K69" s="7"/>
      <c r="L69" s="7"/>
      <c r="M69" s="7"/>
    </row>
    <row r="70" spans="1:13">
      <c r="A70" s="6">
        <v>45973</v>
      </c>
      <c r="B70" s="7" t="s">
        <v>673</v>
      </c>
      <c r="C70" s="7" t="s">
        <v>753</v>
      </c>
      <c r="D70" s="7" t="s">
        <v>754</v>
      </c>
      <c r="E70" s="7">
        <v>40</v>
      </c>
      <c r="F70" s="7">
        <v>1</v>
      </c>
      <c r="G70" s="7">
        <f t="shared" si="2"/>
        <v>40</v>
      </c>
      <c r="H70" s="7" t="s">
        <v>190</v>
      </c>
      <c r="I70" s="7" t="s">
        <v>775</v>
      </c>
      <c r="J70" s="14" t="s">
        <v>176</v>
      </c>
      <c r="K70" s="7"/>
      <c r="L70" s="7"/>
      <c r="M70" s="7"/>
    </row>
    <row r="71" spans="1:13">
      <c r="A71" s="6">
        <v>45973</v>
      </c>
      <c r="B71" s="7" t="s">
        <v>673</v>
      </c>
      <c r="C71" s="7" t="s">
        <v>776</v>
      </c>
      <c r="D71" s="7" t="s">
        <v>777</v>
      </c>
      <c r="E71" s="7">
        <v>16</v>
      </c>
      <c r="F71" s="7">
        <v>1</v>
      </c>
      <c r="G71" s="7">
        <f t="shared" si="2"/>
        <v>16</v>
      </c>
      <c r="H71" s="7" t="s">
        <v>190</v>
      </c>
      <c r="I71" s="7" t="s">
        <v>778</v>
      </c>
      <c r="J71" s="14" t="s">
        <v>176</v>
      </c>
      <c r="K71" s="7"/>
      <c r="L71" s="7"/>
      <c r="M71" s="7"/>
    </row>
    <row r="72" spans="1:13">
      <c r="A72" s="6">
        <v>45973</v>
      </c>
      <c r="B72" s="7" t="s">
        <v>673</v>
      </c>
      <c r="C72" s="7" t="s">
        <v>779</v>
      </c>
      <c r="D72" s="7" t="s">
        <v>780</v>
      </c>
      <c r="E72" s="7">
        <v>16</v>
      </c>
      <c r="F72" s="7">
        <v>1</v>
      </c>
      <c r="G72" s="7">
        <f t="shared" si="2"/>
        <v>16</v>
      </c>
      <c r="H72" s="7" t="s">
        <v>190</v>
      </c>
      <c r="I72" s="7" t="s">
        <v>781</v>
      </c>
      <c r="J72" s="14" t="s">
        <v>176</v>
      </c>
      <c r="K72" s="7"/>
      <c r="L72" s="7"/>
      <c r="M72" s="7"/>
    </row>
    <row r="73" spans="1:13">
      <c r="A73" s="6">
        <v>45973</v>
      </c>
      <c r="B73" s="7" t="s">
        <v>673</v>
      </c>
      <c r="C73" s="7" t="s">
        <v>782</v>
      </c>
      <c r="D73" s="7" t="s">
        <v>783</v>
      </c>
      <c r="E73" s="7">
        <v>60</v>
      </c>
      <c r="F73" s="7">
        <v>1</v>
      </c>
      <c r="G73" s="7">
        <f t="shared" si="2"/>
        <v>60</v>
      </c>
      <c r="H73" s="7" t="s">
        <v>190</v>
      </c>
      <c r="I73" s="7" t="s">
        <v>784</v>
      </c>
      <c r="J73" s="14" t="s">
        <v>176</v>
      </c>
      <c r="K73" s="7"/>
      <c r="L73" s="7"/>
      <c r="M73" s="7"/>
    </row>
    <row r="74" spans="1:13">
      <c r="A74" s="6">
        <v>45978</v>
      </c>
      <c r="B74" s="7" t="s">
        <v>673</v>
      </c>
      <c r="C74" s="7" t="s">
        <v>764</v>
      </c>
      <c r="D74" s="7" t="s">
        <v>765</v>
      </c>
      <c r="E74" s="7">
        <v>7</v>
      </c>
      <c r="F74" s="7">
        <v>1</v>
      </c>
      <c r="G74" s="7">
        <f t="shared" si="2"/>
        <v>7</v>
      </c>
      <c r="H74" s="7" t="s">
        <v>190</v>
      </c>
      <c r="I74" s="7" t="s">
        <v>766</v>
      </c>
      <c r="J74" s="14" t="s">
        <v>176</v>
      </c>
      <c r="K74" s="7"/>
      <c r="L74" s="7"/>
      <c r="M74" s="7"/>
    </row>
    <row r="75" spans="1:13">
      <c r="A75" s="6">
        <v>45978</v>
      </c>
      <c r="B75" s="7" t="s">
        <v>673</v>
      </c>
      <c r="C75" s="7" t="s">
        <v>767</v>
      </c>
      <c r="D75" s="7" t="s">
        <v>768</v>
      </c>
      <c r="E75" s="7">
        <v>7</v>
      </c>
      <c r="F75" s="7">
        <v>1</v>
      </c>
      <c r="G75" s="7">
        <f t="shared" si="2"/>
        <v>7</v>
      </c>
      <c r="H75" s="7" t="s">
        <v>190</v>
      </c>
      <c r="I75" s="7" t="s">
        <v>769</v>
      </c>
      <c r="J75" s="14" t="s">
        <v>176</v>
      </c>
      <c r="K75" s="7"/>
      <c r="L75" s="7"/>
      <c r="M75" s="7"/>
    </row>
    <row r="76" spans="1:13">
      <c r="A76" s="6">
        <v>45978</v>
      </c>
      <c r="B76" s="7" t="s">
        <v>673</v>
      </c>
      <c r="C76" s="7" t="s">
        <v>772</v>
      </c>
      <c r="D76" s="7" t="s">
        <v>773</v>
      </c>
      <c r="E76" s="7">
        <v>28</v>
      </c>
      <c r="F76" s="7">
        <v>1</v>
      </c>
      <c r="G76" s="7">
        <f t="shared" si="2"/>
        <v>28</v>
      </c>
      <c r="H76" s="7" t="s">
        <v>190</v>
      </c>
      <c r="I76" s="7" t="s">
        <v>774</v>
      </c>
      <c r="J76" s="14" t="s">
        <v>176</v>
      </c>
      <c r="K76" s="7"/>
      <c r="L76" s="7"/>
      <c r="M76" s="7"/>
    </row>
    <row r="77" spans="1:13">
      <c r="A77" s="6">
        <v>45978</v>
      </c>
      <c r="B77" s="7" t="s">
        <v>673</v>
      </c>
      <c r="C77" s="7" t="s">
        <v>753</v>
      </c>
      <c r="D77" s="7" t="s">
        <v>754</v>
      </c>
      <c r="E77" s="7">
        <v>7</v>
      </c>
      <c r="F77" s="7">
        <v>1</v>
      </c>
      <c r="G77" s="7">
        <f t="shared" si="2"/>
        <v>7</v>
      </c>
      <c r="H77" s="7" t="s">
        <v>190</v>
      </c>
      <c r="I77" s="7" t="s">
        <v>775</v>
      </c>
      <c r="J77" s="14" t="s">
        <v>176</v>
      </c>
      <c r="K77" s="7"/>
      <c r="L77" s="7"/>
      <c r="M77" s="7"/>
    </row>
    <row r="78" spans="1:13">
      <c r="A78" s="6">
        <v>45978</v>
      </c>
      <c r="B78" s="7" t="s">
        <v>673</v>
      </c>
      <c r="C78" s="7" t="s">
        <v>779</v>
      </c>
      <c r="D78" s="7" t="s">
        <v>780</v>
      </c>
      <c r="E78" s="7">
        <v>14</v>
      </c>
      <c r="F78" s="7">
        <v>1</v>
      </c>
      <c r="G78" s="7">
        <f t="shared" si="2"/>
        <v>14</v>
      </c>
      <c r="H78" s="7" t="s">
        <v>190</v>
      </c>
      <c r="I78" s="7" t="s">
        <v>781</v>
      </c>
      <c r="J78" s="14" t="s">
        <v>176</v>
      </c>
      <c r="K78" s="7"/>
      <c r="L78" s="7"/>
      <c r="M78" s="7"/>
    </row>
    <row r="79" spans="1:13">
      <c r="A79" s="6">
        <v>45993</v>
      </c>
      <c r="B79" s="7" t="s">
        <v>673</v>
      </c>
      <c r="C79" s="7" t="s">
        <v>785</v>
      </c>
      <c r="D79" s="7" t="s">
        <v>786</v>
      </c>
      <c r="E79" s="7">
        <v>2</v>
      </c>
      <c r="F79" s="7">
        <v>1</v>
      </c>
      <c r="G79" s="7">
        <f t="shared" si="2"/>
        <v>2</v>
      </c>
      <c r="H79" s="7" t="s">
        <v>190</v>
      </c>
      <c r="I79" s="7" t="s">
        <v>787</v>
      </c>
      <c r="J79" s="14" t="s">
        <v>176</v>
      </c>
      <c r="K79" s="7"/>
      <c r="L79" s="7"/>
      <c r="M79" s="7"/>
    </row>
    <row r="80" spans="1:13">
      <c r="A80" s="6">
        <v>46007</v>
      </c>
      <c r="B80" s="7" t="s">
        <v>673</v>
      </c>
      <c r="C80" s="14" t="s">
        <v>788</v>
      </c>
      <c r="D80" s="14" t="s">
        <v>789</v>
      </c>
      <c r="E80" s="7">
        <v>7</v>
      </c>
      <c r="F80" s="7">
        <v>1</v>
      </c>
      <c r="G80" s="7">
        <f t="shared" si="2"/>
        <v>7</v>
      </c>
      <c r="H80" s="7" t="s">
        <v>190</v>
      </c>
      <c r="I80" s="7" t="s">
        <v>790</v>
      </c>
      <c r="J80" s="14" t="s">
        <v>176</v>
      </c>
      <c r="K80" s="7"/>
      <c r="L80" s="7"/>
      <c r="M80" s="7"/>
    </row>
    <row r="81" spans="1:13">
      <c r="A81" s="6">
        <v>46016</v>
      </c>
      <c r="B81" s="7" t="s">
        <v>673</v>
      </c>
      <c r="C81" s="14" t="s">
        <v>791</v>
      </c>
      <c r="D81" s="14" t="s">
        <v>792</v>
      </c>
      <c r="E81" s="7">
        <v>3</v>
      </c>
      <c r="F81" s="7">
        <v>1</v>
      </c>
      <c r="G81" s="7">
        <f t="shared" si="2"/>
        <v>3</v>
      </c>
      <c r="H81" s="7" t="s">
        <v>171</v>
      </c>
      <c r="I81" s="7" t="s">
        <v>793</v>
      </c>
      <c r="J81" s="14" t="s">
        <v>176</v>
      </c>
      <c r="K81" s="7"/>
      <c r="L81" s="7"/>
      <c r="M81" s="7"/>
    </row>
    <row r="82" spans="1:13">
      <c r="A82" s="6">
        <v>46020</v>
      </c>
      <c r="B82" s="7" t="s">
        <v>673</v>
      </c>
      <c r="C82" s="14" t="s">
        <v>794</v>
      </c>
      <c r="D82" s="14" t="s">
        <v>795</v>
      </c>
      <c r="E82" s="7">
        <v>64</v>
      </c>
      <c r="F82" s="7">
        <v>1</v>
      </c>
      <c r="G82" s="7">
        <f t="shared" si="2"/>
        <v>64</v>
      </c>
      <c r="H82" s="7" t="s">
        <v>190</v>
      </c>
      <c r="I82" s="7" t="s">
        <v>796</v>
      </c>
      <c r="J82" s="14" t="s">
        <v>176</v>
      </c>
      <c r="K82" s="7"/>
      <c r="L82" s="7"/>
      <c r="M82" s="7"/>
    </row>
    <row r="83" spans="1:13">
      <c r="A83" s="6">
        <v>46020</v>
      </c>
      <c r="B83" s="7" t="s">
        <v>673</v>
      </c>
      <c r="C83" s="7" t="s">
        <v>797</v>
      </c>
      <c r="D83" s="7" t="s">
        <v>798</v>
      </c>
      <c r="E83" s="7">
        <v>64</v>
      </c>
      <c r="F83" s="7">
        <v>1</v>
      </c>
      <c r="G83" s="7">
        <f t="shared" si="2"/>
        <v>64</v>
      </c>
      <c r="H83" s="7" t="s">
        <v>190</v>
      </c>
      <c r="I83" s="7" t="s">
        <v>799</v>
      </c>
      <c r="J83" s="14" t="s">
        <v>176</v>
      </c>
      <c r="K83" s="7"/>
      <c r="L83" s="7"/>
      <c r="M83" s="7"/>
    </row>
    <row r="84" spans="1:13">
      <c r="A84" s="6">
        <v>46020</v>
      </c>
      <c r="B84" s="7" t="s">
        <v>673</v>
      </c>
      <c r="C84" s="7" t="s">
        <v>800</v>
      </c>
      <c r="D84" s="7" t="s">
        <v>801</v>
      </c>
      <c r="E84" s="7">
        <v>130</v>
      </c>
      <c r="F84" s="7">
        <v>1</v>
      </c>
      <c r="G84" s="7">
        <f t="shared" si="2"/>
        <v>130</v>
      </c>
      <c r="H84" s="7" t="s">
        <v>190</v>
      </c>
      <c r="I84" s="7" t="s">
        <v>799</v>
      </c>
      <c r="J84" s="14" t="s">
        <v>176</v>
      </c>
      <c r="K84" s="7"/>
      <c r="L84" s="7"/>
      <c r="M84" s="7"/>
    </row>
    <row r="85" spans="1:13">
      <c r="A85" s="6">
        <v>46058</v>
      </c>
      <c r="B85" s="7" t="s">
        <v>673</v>
      </c>
      <c r="C85" s="14" t="s">
        <v>802</v>
      </c>
      <c r="D85" s="14" t="s">
        <v>803</v>
      </c>
      <c r="E85" s="7">
        <v>1197</v>
      </c>
      <c r="F85" s="7">
        <v>1</v>
      </c>
      <c r="G85" s="7">
        <f t="shared" ref="G85:G104" si="3">F85*E85</f>
        <v>1197</v>
      </c>
      <c r="H85" s="7" t="s">
        <v>190</v>
      </c>
      <c r="I85" s="7" t="s">
        <v>558</v>
      </c>
      <c r="J85" s="14" t="s">
        <v>176</v>
      </c>
      <c r="K85" s="7"/>
      <c r="L85" s="7"/>
      <c r="M85" s="7"/>
    </row>
    <row r="86" spans="1:13">
      <c r="A86" s="6">
        <v>46058</v>
      </c>
      <c r="B86" s="7" t="s">
        <v>673</v>
      </c>
      <c r="C86" s="14" t="s">
        <v>804</v>
      </c>
      <c r="D86" s="14" t="s">
        <v>805</v>
      </c>
      <c r="E86" s="7">
        <v>504</v>
      </c>
      <c r="F86" s="7">
        <v>1</v>
      </c>
      <c r="G86" s="7">
        <f t="shared" si="3"/>
        <v>504</v>
      </c>
      <c r="H86" s="7" t="s">
        <v>190</v>
      </c>
      <c r="I86" s="7" t="s">
        <v>771</v>
      </c>
      <c r="J86" s="14" t="s">
        <v>176</v>
      </c>
      <c r="K86" s="7"/>
      <c r="L86" s="7"/>
      <c r="M86" s="7"/>
    </row>
    <row r="87" spans="1:13">
      <c r="A87" s="6">
        <v>46058</v>
      </c>
      <c r="B87" s="7" t="s">
        <v>673</v>
      </c>
      <c r="C87" s="14" t="s">
        <v>806</v>
      </c>
      <c r="D87" s="14" t="s">
        <v>807</v>
      </c>
      <c r="E87" s="7">
        <v>126</v>
      </c>
      <c r="F87" s="7">
        <v>1</v>
      </c>
      <c r="G87" s="7">
        <f t="shared" si="3"/>
        <v>126</v>
      </c>
      <c r="H87" s="7" t="s">
        <v>190</v>
      </c>
      <c r="I87" s="7" t="s">
        <v>457</v>
      </c>
      <c r="J87" s="14" t="s">
        <v>176</v>
      </c>
      <c r="K87" s="7"/>
      <c r="L87" s="7"/>
      <c r="M87" s="7"/>
    </row>
    <row r="88" spans="1:13">
      <c r="A88" s="6">
        <v>46058</v>
      </c>
      <c r="B88" s="7" t="s">
        <v>673</v>
      </c>
      <c r="C88" s="7" t="s">
        <v>808</v>
      </c>
      <c r="D88" s="7" t="s">
        <v>809</v>
      </c>
      <c r="E88" s="7">
        <v>315</v>
      </c>
      <c r="F88" s="7">
        <v>1</v>
      </c>
      <c r="G88" s="7">
        <f t="shared" si="3"/>
        <v>315</v>
      </c>
      <c r="H88" s="7" t="s">
        <v>190</v>
      </c>
      <c r="I88" s="7" t="s">
        <v>810</v>
      </c>
      <c r="J88" s="14" t="s">
        <v>176</v>
      </c>
      <c r="K88" s="7"/>
      <c r="L88" s="7"/>
      <c r="M88" s="7"/>
    </row>
    <row r="89" spans="1:13">
      <c r="A89" s="6">
        <v>46058</v>
      </c>
      <c r="B89" s="7" t="s">
        <v>673</v>
      </c>
      <c r="C89" s="14" t="s">
        <v>811</v>
      </c>
      <c r="D89" s="14" t="s">
        <v>812</v>
      </c>
      <c r="E89" s="7">
        <v>2079</v>
      </c>
      <c r="F89" s="7">
        <v>1</v>
      </c>
      <c r="G89" s="7">
        <f t="shared" si="3"/>
        <v>2079</v>
      </c>
      <c r="H89" s="7" t="s">
        <v>190</v>
      </c>
      <c r="I89" s="7" t="s">
        <v>457</v>
      </c>
      <c r="J89" s="14" t="s">
        <v>176</v>
      </c>
      <c r="K89" s="7"/>
      <c r="L89" s="7"/>
      <c r="M89" s="7"/>
    </row>
    <row r="90" spans="1:13">
      <c r="A90" s="6">
        <v>46058</v>
      </c>
      <c r="B90" s="7" t="s">
        <v>673</v>
      </c>
      <c r="C90" s="7" t="s">
        <v>767</v>
      </c>
      <c r="D90" s="7" t="s">
        <v>768</v>
      </c>
      <c r="E90" s="7">
        <v>315</v>
      </c>
      <c r="F90" s="7">
        <v>1</v>
      </c>
      <c r="G90" s="7">
        <f t="shared" si="3"/>
        <v>315</v>
      </c>
      <c r="H90" s="7" t="s">
        <v>190</v>
      </c>
      <c r="I90" s="7" t="s">
        <v>813</v>
      </c>
      <c r="J90" s="14" t="s">
        <v>176</v>
      </c>
      <c r="K90" s="7"/>
      <c r="L90" s="7"/>
      <c r="M90" s="7"/>
    </row>
    <row r="91" spans="1:13">
      <c r="A91" s="6">
        <v>46058</v>
      </c>
      <c r="B91" s="7" t="s">
        <v>673</v>
      </c>
      <c r="C91" s="14" t="s">
        <v>764</v>
      </c>
      <c r="D91" s="14" t="s">
        <v>814</v>
      </c>
      <c r="E91" s="7">
        <v>315</v>
      </c>
      <c r="F91" s="7">
        <v>1</v>
      </c>
      <c r="G91" s="7">
        <f t="shared" si="3"/>
        <v>315</v>
      </c>
      <c r="H91" s="7" t="s">
        <v>190</v>
      </c>
      <c r="I91" s="7" t="s">
        <v>766</v>
      </c>
      <c r="J91" s="14" t="s">
        <v>176</v>
      </c>
      <c r="K91" s="7"/>
      <c r="L91" s="7"/>
      <c r="M91" s="7"/>
    </row>
    <row r="92" spans="1:13">
      <c r="A92" s="6">
        <v>46058</v>
      </c>
      <c r="B92" s="7" t="s">
        <v>673</v>
      </c>
      <c r="C92" s="14" t="s">
        <v>455</v>
      </c>
      <c r="D92" s="14" t="s">
        <v>815</v>
      </c>
      <c r="E92" s="7">
        <v>315</v>
      </c>
      <c r="F92" s="7">
        <v>1</v>
      </c>
      <c r="G92" s="7">
        <f t="shared" si="3"/>
        <v>315</v>
      </c>
      <c r="H92" s="7" t="s">
        <v>190</v>
      </c>
      <c r="I92" s="7" t="s">
        <v>457</v>
      </c>
      <c r="J92" s="14" t="s">
        <v>176</v>
      </c>
      <c r="K92" s="7"/>
      <c r="L92" s="7"/>
      <c r="M92" s="7"/>
    </row>
    <row r="93" spans="1:13">
      <c r="A93" s="6">
        <v>46058</v>
      </c>
      <c r="B93" s="7" t="s">
        <v>673</v>
      </c>
      <c r="C93" s="14" t="s">
        <v>677</v>
      </c>
      <c r="D93" s="14" t="s">
        <v>816</v>
      </c>
      <c r="E93" s="7">
        <v>378</v>
      </c>
      <c r="F93" s="7">
        <v>1</v>
      </c>
      <c r="G93" s="7">
        <f t="shared" si="3"/>
        <v>378</v>
      </c>
      <c r="H93" s="7" t="s">
        <v>190</v>
      </c>
      <c r="I93" s="7" t="s">
        <v>771</v>
      </c>
      <c r="J93" s="14" t="s">
        <v>176</v>
      </c>
      <c r="K93" s="7"/>
      <c r="L93" s="7"/>
      <c r="M93" s="7"/>
    </row>
    <row r="94" spans="1:13">
      <c r="A94" s="6">
        <v>46058</v>
      </c>
      <c r="B94" s="7" t="s">
        <v>673</v>
      </c>
      <c r="C94" s="14" t="s">
        <v>753</v>
      </c>
      <c r="D94" s="14" t="s">
        <v>817</v>
      </c>
      <c r="E94" s="7">
        <v>189</v>
      </c>
      <c r="F94" s="7">
        <v>1</v>
      </c>
      <c r="G94" s="7">
        <f t="shared" si="3"/>
        <v>189</v>
      </c>
      <c r="H94" s="7" t="s">
        <v>190</v>
      </c>
      <c r="I94" s="7" t="s">
        <v>775</v>
      </c>
      <c r="J94" s="14" t="s">
        <v>176</v>
      </c>
      <c r="K94" s="7"/>
      <c r="L94" s="7"/>
      <c r="M94" s="7"/>
    </row>
    <row r="95" spans="1:13">
      <c r="A95" s="6">
        <v>46058</v>
      </c>
      <c r="B95" s="7" t="s">
        <v>673</v>
      </c>
      <c r="C95" s="14" t="s">
        <v>779</v>
      </c>
      <c r="D95" s="14" t="s">
        <v>780</v>
      </c>
      <c r="E95" s="7">
        <v>126</v>
      </c>
      <c r="F95" s="7">
        <v>1</v>
      </c>
      <c r="G95" s="7">
        <f t="shared" si="3"/>
        <v>126</v>
      </c>
      <c r="H95" s="7" t="s">
        <v>190</v>
      </c>
      <c r="I95" s="7" t="s">
        <v>781</v>
      </c>
      <c r="J95" s="14" t="s">
        <v>176</v>
      </c>
      <c r="K95" s="7"/>
      <c r="L95" s="7"/>
      <c r="M95" s="7"/>
    </row>
    <row r="96" spans="1:13">
      <c r="A96" s="6">
        <v>46058</v>
      </c>
      <c r="B96" s="7" t="s">
        <v>673</v>
      </c>
      <c r="C96" s="14" t="s">
        <v>677</v>
      </c>
      <c r="D96" s="14" t="s">
        <v>818</v>
      </c>
      <c r="E96" s="7">
        <v>6</v>
      </c>
      <c r="F96" s="7">
        <v>1</v>
      </c>
      <c r="G96" s="7">
        <f t="shared" si="3"/>
        <v>6</v>
      </c>
      <c r="H96" s="7" t="s">
        <v>190</v>
      </c>
      <c r="I96" s="7" t="s">
        <v>771</v>
      </c>
      <c r="J96" s="14" t="s">
        <v>176</v>
      </c>
      <c r="K96" s="7"/>
      <c r="L96" s="7"/>
      <c r="M96" s="7"/>
    </row>
    <row r="97" spans="1:13">
      <c r="A97" s="6">
        <v>46058</v>
      </c>
      <c r="B97" s="7" t="s">
        <v>673</v>
      </c>
      <c r="C97" s="14" t="s">
        <v>677</v>
      </c>
      <c r="D97" s="14" t="s">
        <v>680</v>
      </c>
      <c r="E97" s="7">
        <v>6</v>
      </c>
      <c r="F97" s="7">
        <v>1</v>
      </c>
      <c r="G97" s="7">
        <f t="shared" si="3"/>
        <v>6</v>
      </c>
      <c r="H97" s="7" t="s">
        <v>190</v>
      </c>
      <c r="I97" s="7" t="s">
        <v>771</v>
      </c>
      <c r="J97" s="14" t="s">
        <v>176</v>
      </c>
      <c r="K97" s="7"/>
      <c r="L97" s="7"/>
      <c r="M97" s="7"/>
    </row>
    <row r="98" spans="1:13">
      <c r="A98" s="6">
        <v>46058</v>
      </c>
      <c r="B98" s="7" t="s">
        <v>673</v>
      </c>
      <c r="C98" s="14" t="s">
        <v>819</v>
      </c>
      <c r="D98" s="14" t="s">
        <v>820</v>
      </c>
      <c r="E98" s="7">
        <v>63</v>
      </c>
      <c r="F98" s="7">
        <v>1</v>
      </c>
      <c r="G98" s="7">
        <f t="shared" si="3"/>
        <v>63</v>
      </c>
      <c r="H98" s="7" t="s">
        <v>190</v>
      </c>
      <c r="I98" s="7" t="s">
        <v>821</v>
      </c>
      <c r="J98" s="14" t="s">
        <v>176</v>
      </c>
      <c r="K98" s="7"/>
      <c r="L98" s="7"/>
      <c r="M98" s="7"/>
    </row>
    <row r="99" spans="1:13">
      <c r="A99" s="6">
        <v>46058</v>
      </c>
      <c r="B99" s="7" t="s">
        <v>673</v>
      </c>
      <c r="C99" s="7" t="s">
        <v>822</v>
      </c>
      <c r="D99" s="7" t="s">
        <v>823</v>
      </c>
      <c r="E99" s="7">
        <v>300</v>
      </c>
      <c r="F99" s="7">
        <v>1</v>
      </c>
      <c r="G99" s="7">
        <f t="shared" si="3"/>
        <v>300</v>
      </c>
      <c r="H99" s="7" t="s">
        <v>190</v>
      </c>
      <c r="I99" s="7" t="s">
        <v>824</v>
      </c>
      <c r="J99" s="14" t="s">
        <v>176</v>
      </c>
      <c r="K99" s="7"/>
      <c r="L99" s="7"/>
      <c r="M99" s="7"/>
    </row>
    <row r="100" spans="1:13">
      <c r="A100" s="6">
        <v>46058</v>
      </c>
      <c r="B100" s="7" t="s">
        <v>673</v>
      </c>
      <c r="C100" s="7" t="s">
        <v>772</v>
      </c>
      <c r="D100" s="7" t="s">
        <v>773</v>
      </c>
      <c r="E100" s="7">
        <v>1260</v>
      </c>
      <c r="F100" s="7">
        <v>1</v>
      </c>
      <c r="G100" s="7">
        <f t="shared" si="3"/>
        <v>1260</v>
      </c>
      <c r="H100" s="7" t="s">
        <v>190</v>
      </c>
      <c r="I100" s="7" t="s">
        <v>774</v>
      </c>
      <c r="J100" s="14" t="s">
        <v>176</v>
      </c>
      <c r="K100" s="7"/>
      <c r="L100" s="7"/>
      <c r="M100" s="7"/>
    </row>
    <row r="101" spans="1:13">
      <c r="A101" s="6">
        <v>46058</v>
      </c>
      <c r="B101" s="7" t="s">
        <v>673</v>
      </c>
      <c r="C101" s="7" t="s">
        <v>794</v>
      </c>
      <c r="D101" s="7" t="s">
        <v>795</v>
      </c>
      <c r="E101" s="7">
        <v>528</v>
      </c>
      <c r="F101" s="7">
        <v>1</v>
      </c>
      <c r="G101" s="7">
        <f t="shared" si="3"/>
        <v>528</v>
      </c>
      <c r="H101" s="7" t="s">
        <v>190</v>
      </c>
      <c r="I101" s="7" t="s">
        <v>796</v>
      </c>
      <c r="J101" s="14" t="s">
        <v>176</v>
      </c>
      <c r="K101" s="7"/>
      <c r="L101" s="7"/>
      <c r="M101" s="7"/>
    </row>
    <row r="102" spans="1:13">
      <c r="A102" s="6">
        <v>46058</v>
      </c>
      <c r="B102" s="7" t="s">
        <v>673</v>
      </c>
      <c r="C102" s="7" t="s">
        <v>797</v>
      </c>
      <c r="D102" s="7" t="s">
        <v>825</v>
      </c>
      <c r="E102" s="7">
        <v>990</v>
      </c>
      <c r="F102" s="7">
        <v>1</v>
      </c>
      <c r="G102" s="7">
        <f t="shared" si="3"/>
        <v>990</v>
      </c>
      <c r="H102" s="7" t="s">
        <v>190</v>
      </c>
      <c r="I102" s="7" t="s">
        <v>799</v>
      </c>
      <c r="J102" s="14" t="s">
        <v>176</v>
      </c>
      <c r="K102" s="7"/>
      <c r="L102" s="7"/>
      <c r="M102" s="7"/>
    </row>
    <row r="103" spans="1:13">
      <c r="A103" s="6">
        <v>46058</v>
      </c>
      <c r="B103" s="7" t="s">
        <v>673</v>
      </c>
      <c r="C103" s="7" t="s">
        <v>800</v>
      </c>
      <c r="D103" s="7" t="s">
        <v>801</v>
      </c>
      <c r="E103" s="7">
        <v>1980</v>
      </c>
      <c r="F103" s="7">
        <v>1</v>
      </c>
      <c r="G103" s="7">
        <f t="shared" si="3"/>
        <v>1980</v>
      </c>
      <c r="H103" s="7" t="s">
        <v>190</v>
      </c>
      <c r="I103" s="7" t="s">
        <v>799</v>
      </c>
      <c r="J103" s="14" t="s">
        <v>176</v>
      </c>
      <c r="K103" s="7"/>
      <c r="L103" s="7"/>
      <c r="M103" s="7"/>
    </row>
    <row r="104" spans="1:13">
      <c r="A104" s="6">
        <v>46058</v>
      </c>
      <c r="B104" s="7" t="s">
        <v>673</v>
      </c>
      <c r="C104" s="7" t="s">
        <v>826</v>
      </c>
      <c r="D104" s="7" t="s">
        <v>827</v>
      </c>
      <c r="E104" s="7">
        <v>1320</v>
      </c>
      <c r="F104" s="7">
        <v>1</v>
      </c>
      <c r="G104" s="7">
        <f t="shared" si="3"/>
        <v>1320</v>
      </c>
      <c r="H104" s="7" t="s">
        <v>185</v>
      </c>
      <c r="I104" s="7" t="s">
        <v>77</v>
      </c>
      <c r="J104" s="14" t="s">
        <v>176</v>
      </c>
      <c r="K104" s="7"/>
      <c r="L104" s="7"/>
      <c r="M104" s="7"/>
    </row>
    <row r="105" spans="1:13">
      <c r="A105" s="6">
        <v>46078</v>
      </c>
      <c r="B105" s="7" t="s">
        <v>673</v>
      </c>
      <c r="C105" s="7" t="s">
        <v>802</v>
      </c>
      <c r="D105" s="7" t="s">
        <v>803</v>
      </c>
      <c r="E105" s="7">
        <v>40</v>
      </c>
      <c r="F105" s="7">
        <v>1</v>
      </c>
      <c r="G105" s="7">
        <f t="shared" ref="G105:G129" si="4">F105*E105</f>
        <v>40</v>
      </c>
      <c r="H105" s="7" t="s">
        <v>190</v>
      </c>
      <c r="I105" s="7" t="s">
        <v>558</v>
      </c>
      <c r="J105" s="14" t="s">
        <v>176</v>
      </c>
      <c r="K105" s="7"/>
      <c r="L105" s="7"/>
      <c r="M105" s="7"/>
    </row>
    <row r="106" spans="1:13">
      <c r="A106" s="6">
        <v>46078</v>
      </c>
      <c r="B106" s="7" t="s">
        <v>673</v>
      </c>
      <c r="C106" s="7" t="s">
        <v>455</v>
      </c>
      <c r="D106" s="7" t="s">
        <v>815</v>
      </c>
      <c r="E106" s="7">
        <v>15</v>
      </c>
      <c r="F106" s="7">
        <v>1</v>
      </c>
      <c r="G106" s="7">
        <f t="shared" si="4"/>
        <v>15</v>
      </c>
      <c r="H106" s="7" t="s">
        <v>190</v>
      </c>
      <c r="I106" s="7" t="s">
        <v>457</v>
      </c>
      <c r="J106" s="14" t="s">
        <v>176</v>
      </c>
      <c r="K106" s="7"/>
      <c r="L106" s="7"/>
      <c r="M106" s="7"/>
    </row>
    <row r="107" spans="1:13">
      <c r="A107" s="6">
        <v>46078</v>
      </c>
      <c r="B107" s="7" t="s">
        <v>673</v>
      </c>
      <c r="C107" s="7" t="s">
        <v>811</v>
      </c>
      <c r="D107" s="7" t="s">
        <v>812</v>
      </c>
      <c r="E107" s="7">
        <v>40</v>
      </c>
      <c r="F107" s="7">
        <v>1</v>
      </c>
      <c r="G107" s="7">
        <f t="shared" si="4"/>
        <v>40</v>
      </c>
      <c r="H107" s="7" t="s">
        <v>190</v>
      </c>
      <c r="I107" s="7" t="s">
        <v>457</v>
      </c>
      <c r="J107" s="14" t="s">
        <v>176</v>
      </c>
      <c r="K107" s="7"/>
      <c r="L107" s="7"/>
      <c r="M107" s="7"/>
    </row>
    <row r="108" spans="1:13">
      <c r="A108" s="6">
        <v>46078</v>
      </c>
      <c r="B108" s="7" t="s">
        <v>673</v>
      </c>
      <c r="C108" s="7" t="s">
        <v>772</v>
      </c>
      <c r="D108" s="7" t="s">
        <v>773</v>
      </c>
      <c r="E108" s="7">
        <v>60</v>
      </c>
      <c r="F108" s="7">
        <v>1</v>
      </c>
      <c r="G108" s="7">
        <f t="shared" si="4"/>
        <v>60</v>
      </c>
      <c r="H108" s="7" t="s">
        <v>190</v>
      </c>
      <c r="I108" s="7" t="s">
        <v>774</v>
      </c>
      <c r="J108" s="14" t="s">
        <v>176</v>
      </c>
      <c r="K108" s="7"/>
      <c r="L108" s="7"/>
      <c r="M108" s="7"/>
    </row>
    <row r="109" spans="1:13">
      <c r="A109" s="6">
        <v>46078</v>
      </c>
      <c r="B109" s="7" t="s">
        <v>673</v>
      </c>
      <c r="C109" s="7" t="s">
        <v>808</v>
      </c>
      <c r="D109" s="7" t="s">
        <v>809</v>
      </c>
      <c r="E109" s="7">
        <v>15</v>
      </c>
      <c r="F109" s="7">
        <v>1</v>
      </c>
      <c r="G109" s="7">
        <f t="shared" si="4"/>
        <v>15</v>
      </c>
      <c r="H109" s="7" t="s">
        <v>190</v>
      </c>
      <c r="I109" s="7" t="s">
        <v>810</v>
      </c>
      <c r="J109" s="14" t="s">
        <v>176</v>
      </c>
      <c r="K109" s="7"/>
      <c r="L109" s="7"/>
      <c r="M109" s="7"/>
    </row>
    <row r="110" spans="1:13">
      <c r="A110" s="6">
        <v>46078</v>
      </c>
      <c r="B110" s="7" t="s">
        <v>673</v>
      </c>
      <c r="C110" s="7" t="s">
        <v>779</v>
      </c>
      <c r="D110" s="7" t="s">
        <v>780</v>
      </c>
      <c r="E110" s="7">
        <v>30</v>
      </c>
      <c r="F110" s="7">
        <v>1</v>
      </c>
      <c r="G110" s="7">
        <f t="shared" si="4"/>
        <v>30</v>
      </c>
      <c r="H110" s="7" t="s">
        <v>190</v>
      </c>
      <c r="I110" s="7" t="s">
        <v>781</v>
      </c>
      <c r="J110" s="14" t="s">
        <v>176</v>
      </c>
      <c r="K110" s="7"/>
      <c r="L110" s="7"/>
      <c r="M110" s="7"/>
    </row>
    <row r="111" spans="1:13">
      <c r="A111" s="6">
        <v>46078</v>
      </c>
      <c r="B111" s="7" t="s">
        <v>673</v>
      </c>
      <c r="C111" s="7" t="s">
        <v>764</v>
      </c>
      <c r="D111" s="7" t="s">
        <v>814</v>
      </c>
      <c r="E111" s="7">
        <v>15</v>
      </c>
      <c r="F111" s="7">
        <v>1</v>
      </c>
      <c r="G111" s="7">
        <f t="shared" si="4"/>
        <v>15</v>
      </c>
      <c r="H111" s="7" t="s">
        <v>190</v>
      </c>
      <c r="I111" s="7" t="s">
        <v>766</v>
      </c>
      <c r="J111" s="14" t="s">
        <v>176</v>
      </c>
      <c r="K111" s="7"/>
      <c r="L111" s="7"/>
      <c r="M111" s="7"/>
    </row>
    <row r="112" spans="1:13">
      <c r="A112" s="6">
        <v>46078</v>
      </c>
      <c r="B112" s="7" t="s">
        <v>673</v>
      </c>
      <c r="C112" s="14" t="s">
        <v>767</v>
      </c>
      <c r="D112" s="14" t="s">
        <v>768</v>
      </c>
      <c r="E112" s="7">
        <v>15</v>
      </c>
      <c r="F112" s="7">
        <v>1</v>
      </c>
      <c r="G112" s="7">
        <f t="shared" si="4"/>
        <v>15</v>
      </c>
      <c r="H112" s="7" t="s">
        <v>190</v>
      </c>
      <c r="I112" s="7" t="s">
        <v>813</v>
      </c>
      <c r="J112" s="14" t="s">
        <v>176</v>
      </c>
      <c r="K112" s="7"/>
      <c r="L112" s="7"/>
      <c r="M112" s="7"/>
    </row>
    <row r="113" spans="1:13">
      <c r="A113" s="6">
        <v>46078</v>
      </c>
      <c r="B113" s="7" t="s">
        <v>673</v>
      </c>
      <c r="C113" s="7" t="s">
        <v>819</v>
      </c>
      <c r="D113" s="7" t="s">
        <v>820</v>
      </c>
      <c r="E113" s="7">
        <v>15</v>
      </c>
      <c r="F113" s="7">
        <v>1</v>
      </c>
      <c r="G113" s="7">
        <f t="shared" si="4"/>
        <v>15</v>
      </c>
      <c r="H113" s="7" t="s">
        <v>190</v>
      </c>
      <c r="I113" s="7" t="s">
        <v>821</v>
      </c>
      <c r="J113" s="14" t="s">
        <v>176</v>
      </c>
      <c r="K113" s="7"/>
      <c r="L113" s="7"/>
      <c r="M113" s="7"/>
    </row>
    <row r="114" spans="1:13">
      <c r="A114" s="6">
        <v>46078</v>
      </c>
      <c r="B114" s="7" t="s">
        <v>673</v>
      </c>
      <c r="C114" s="7" t="s">
        <v>822</v>
      </c>
      <c r="D114" s="7" t="s">
        <v>823</v>
      </c>
      <c r="E114" s="7">
        <v>15</v>
      </c>
      <c r="F114" s="7">
        <v>1</v>
      </c>
      <c r="G114" s="7">
        <f t="shared" si="4"/>
        <v>15</v>
      </c>
      <c r="H114" s="7" t="s">
        <v>190</v>
      </c>
      <c r="I114" s="7" t="s">
        <v>824</v>
      </c>
      <c r="J114" s="14" t="s">
        <v>176</v>
      </c>
      <c r="K114" s="7"/>
      <c r="L114" s="7"/>
      <c r="M114" s="7"/>
    </row>
    <row r="115" spans="1:13">
      <c r="A115" s="6">
        <v>46078</v>
      </c>
      <c r="B115" s="7" t="s">
        <v>673</v>
      </c>
      <c r="C115" s="7" t="s">
        <v>753</v>
      </c>
      <c r="D115" s="7" t="s">
        <v>817</v>
      </c>
      <c r="E115" s="7">
        <v>15</v>
      </c>
      <c r="F115" s="7">
        <v>1</v>
      </c>
      <c r="G115" s="7">
        <f t="shared" si="4"/>
        <v>15</v>
      </c>
      <c r="H115" s="7" t="s">
        <v>190</v>
      </c>
      <c r="I115" s="7" t="s">
        <v>775</v>
      </c>
      <c r="J115" s="14" t="s">
        <v>176</v>
      </c>
      <c r="K115" s="7"/>
      <c r="L115" s="7"/>
      <c r="M115" s="7"/>
    </row>
    <row r="116" spans="1:13">
      <c r="A116" s="6">
        <v>46078</v>
      </c>
      <c r="B116" s="7" t="s">
        <v>673</v>
      </c>
      <c r="C116" s="7" t="s">
        <v>828</v>
      </c>
      <c r="D116" s="7" t="s">
        <v>829</v>
      </c>
      <c r="E116" s="7">
        <v>500</v>
      </c>
      <c r="F116" s="7">
        <v>1</v>
      </c>
      <c r="G116" s="7">
        <f t="shared" si="4"/>
        <v>500</v>
      </c>
      <c r="H116" s="7" t="s">
        <v>190</v>
      </c>
      <c r="I116" s="7" t="s">
        <v>77</v>
      </c>
      <c r="J116" s="14" t="s">
        <v>176</v>
      </c>
      <c r="K116" s="7"/>
      <c r="L116" s="7"/>
      <c r="M116" s="7"/>
    </row>
    <row r="117" spans="1:13">
      <c r="A117" s="6">
        <v>46078</v>
      </c>
      <c r="B117" s="7" t="s">
        <v>673</v>
      </c>
      <c r="C117" s="7" t="s">
        <v>828</v>
      </c>
      <c r="D117" s="7" t="s">
        <v>830</v>
      </c>
      <c r="E117" s="7">
        <v>500</v>
      </c>
      <c r="F117" s="7">
        <v>1</v>
      </c>
      <c r="G117" s="7">
        <f t="shared" si="4"/>
        <v>500</v>
      </c>
      <c r="H117" s="7" t="s">
        <v>190</v>
      </c>
      <c r="I117" s="7" t="s">
        <v>77</v>
      </c>
      <c r="J117" s="14" t="s">
        <v>176</v>
      </c>
      <c r="K117" s="7"/>
      <c r="L117" s="7"/>
      <c r="M117" s="7"/>
    </row>
    <row r="118" spans="1:13">
      <c r="A118" s="6">
        <v>46078</v>
      </c>
      <c r="B118" s="7" t="s">
        <v>673</v>
      </c>
      <c r="C118" s="7" t="s">
        <v>831</v>
      </c>
      <c r="D118" s="7" t="s">
        <v>832</v>
      </c>
      <c r="E118" s="7">
        <v>100</v>
      </c>
      <c r="F118" s="7">
        <v>1</v>
      </c>
      <c r="G118" s="7">
        <f t="shared" si="4"/>
        <v>100</v>
      </c>
      <c r="H118" s="7" t="s">
        <v>190</v>
      </c>
      <c r="I118" s="7" t="s">
        <v>77</v>
      </c>
      <c r="J118" s="14" t="s">
        <v>176</v>
      </c>
      <c r="K118" s="7"/>
      <c r="L118" s="7"/>
      <c r="M118" s="7"/>
    </row>
    <row r="119" spans="1:13">
      <c r="A119" s="6">
        <v>46078</v>
      </c>
      <c r="B119" s="7" t="s">
        <v>673</v>
      </c>
      <c r="C119" s="14" t="s">
        <v>833</v>
      </c>
      <c r="D119" s="14" t="s">
        <v>834</v>
      </c>
      <c r="E119" s="7">
        <v>100</v>
      </c>
      <c r="F119" s="7">
        <v>1</v>
      </c>
      <c r="G119" s="7">
        <f t="shared" si="4"/>
        <v>100</v>
      </c>
      <c r="H119" s="7" t="s">
        <v>190</v>
      </c>
      <c r="I119" s="7" t="s">
        <v>835</v>
      </c>
      <c r="J119" s="14" t="s">
        <v>176</v>
      </c>
      <c r="K119" s="7"/>
      <c r="L119" s="7"/>
      <c r="M119" s="7"/>
    </row>
    <row r="120" spans="1:13">
      <c r="A120" s="6">
        <v>46078</v>
      </c>
      <c r="B120" s="7" t="s">
        <v>673</v>
      </c>
      <c r="C120" s="7" t="s">
        <v>785</v>
      </c>
      <c r="D120" s="7" t="s">
        <v>786</v>
      </c>
      <c r="E120" s="7">
        <v>33</v>
      </c>
      <c r="F120" s="7">
        <v>1</v>
      </c>
      <c r="G120" s="7">
        <f t="shared" si="4"/>
        <v>33</v>
      </c>
      <c r="H120" s="7" t="s">
        <v>190</v>
      </c>
      <c r="I120" s="7" t="s">
        <v>787</v>
      </c>
      <c r="J120" s="14" t="s">
        <v>176</v>
      </c>
      <c r="K120" s="7"/>
      <c r="L120" s="7"/>
      <c r="M120" s="7"/>
    </row>
    <row r="121" spans="1:13">
      <c r="A121" s="6">
        <v>46078</v>
      </c>
      <c r="B121" s="7" t="s">
        <v>673</v>
      </c>
      <c r="C121" s="7" t="s">
        <v>836</v>
      </c>
      <c r="D121" s="7" t="s">
        <v>837</v>
      </c>
      <c r="E121" s="7">
        <v>200</v>
      </c>
      <c r="F121" s="7">
        <v>1</v>
      </c>
      <c r="G121" s="7">
        <f t="shared" si="4"/>
        <v>200</v>
      </c>
      <c r="H121" s="7" t="s">
        <v>190</v>
      </c>
      <c r="I121" s="7" t="s">
        <v>77</v>
      </c>
      <c r="J121" s="14" t="s">
        <v>176</v>
      </c>
      <c r="K121" s="7"/>
      <c r="L121" s="7"/>
      <c r="M121" s="7"/>
    </row>
    <row r="122" spans="1:13">
      <c r="A122" s="6">
        <v>46078</v>
      </c>
      <c r="B122" s="7" t="s">
        <v>673</v>
      </c>
      <c r="C122" s="7" t="s">
        <v>635</v>
      </c>
      <c r="D122" s="7" t="s">
        <v>838</v>
      </c>
      <c r="E122" s="7">
        <v>200</v>
      </c>
      <c r="F122" s="7">
        <v>1</v>
      </c>
      <c r="G122" s="7">
        <f t="shared" si="4"/>
        <v>200</v>
      </c>
      <c r="H122" s="7" t="s">
        <v>190</v>
      </c>
      <c r="I122" s="7" t="s">
        <v>77</v>
      </c>
      <c r="J122" s="14" t="s">
        <v>176</v>
      </c>
      <c r="K122" s="7"/>
      <c r="L122" s="7"/>
      <c r="M122" s="7"/>
    </row>
    <row r="123" spans="1:13">
      <c r="A123" s="6">
        <v>46114</v>
      </c>
      <c r="B123" s="7" t="s">
        <v>673</v>
      </c>
      <c r="C123" s="7" t="s">
        <v>839</v>
      </c>
      <c r="D123" s="7" t="s">
        <v>840</v>
      </c>
      <c r="E123" s="7">
        <v>20</v>
      </c>
      <c r="F123" s="7">
        <v>1</v>
      </c>
      <c r="G123" s="7">
        <f t="shared" si="4"/>
        <v>20</v>
      </c>
      <c r="H123" s="7" t="s">
        <v>190</v>
      </c>
      <c r="I123" s="7" t="s">
        <v>841</v>
      </c>
      <c r="J123" s="14" t="s">
        <v>176</v>
      </c>
      <c r="K123" s="7"/>
      <c r="L123" s="7"/>
      <c r="M123" s="7"/>
    </row>
    <row r="124" spans="1:13">
      <c r="A124" s="6">
        <v>45971</v>
      </c>
      <c r="B124" s="7" t="s">
        <v>673</v>
      </c>
      <c r="C124" s="14" t="s">
        <v>670</v>
      </c>
      <c r="D124" s="14" t="s">
        <v>842</v>
      </c>
      <c r="E124" s="7">
        <v>15</v>
      </c>
      <c r="F124" s="7">
        <v>1</v>
      </c>
      <c r="G124" s="7">
        <f t="shared" si="4"/>
        <v>15</v>
      </c>
      <c r="H124" s="7" t="s">
        <v>190</v>
      </c>
      <c r="I124" s="7" t="s">
        <v>672</v>
      </c>
      <c r="J124" s="14" t="s">
        <v>176</v>
      </c>
      <c r="K124" s="7"/>
      <c r="L124" s="7"/>
      <c r="M124" s="7"/>
    </row>
    <row r="125" spans="1:13">
      <c r="A125" s="6">
        <v>45971</v>
      </c>
      <c r="B125" s="7" t="s">
        <v>673</v>
      </c>
      <c r="C125" s="7" t="s">
        <v>670</v>
      </c>
      <c r="D125" s="7" t="s">
        <v>843</v>
      </c>
      <c r="E125" s="7">
        <v>20</v>
      </c>
      <c r="F125" s="7">
        <v>1</v>
      </c>
      <c r="G125" s="7">
        <f t="shared" si="4"/>
        <v>20</v>
      </c>
      <c r="H125" s="7" t="s">
        <v>190</v>
      </c>
      <c r="I125" s="7" t="s">
        <v>672</v>
      </c>
      <c r="J125" s="14" t="s">
        <v>176</v>
      </c>
      <c r="K125" s="7"/>
      <c r="L125" s="7"/>
      <c r="M125" s="7"/>
    </row>
    <row r="126" spans="1:13">
      <c r="A126" s="6">
        <v>45971</v>
      </c>
      <c r="B126" s="7" t="s">
        <v>673</v>
      </c>
      <c r="C126" s="7" t="s">
        <v>670</v>
      </c>
      <c r="D126" s="7" t="s">
        <v>844</v>
      </c>
      <c r="E126" s="7">
        <v>8</v>
      </c>
      <c r="F126" s="7">
        <v>1</v>
      </c>
      <c r="G126" s="7">
        <f t="shared" si="4"/>
        <v>8</v>
      </c>
      <c r="H126" s="7" t="s">
        <v>190</v>
      </c>
      <c r="I126" s="7" t="s">
        <v>672</v>
      </c>
      <c r="J126" s="14" t="s">
        <v>176</v>
      </c>
      <c r="K126" s="7"/>
      <c r="L126" s="7"/>
      <c r="M126" s="7"/>
    </row>
    <row r="127" spans="1:13">
      <c r="A127" s="6">
        <v>46078</v>
      </c>
      <c r="B127" s="7" t="s">
        <v>673</v>
      </c>
      <c r="C127" s="7" t="s">
        <v>670</v>
      </c>
      <c r="D127" s="7" t="s">
        <v>845</v>
      </c>
      <c r="E127" s="7">
        <v>126</v>
      </c>
      <c r="F127" s="7">
        <v>1</v>
      </c>
      <c r="G127" s="7">
        <f t="shared" si="4"/>
        <v>126</v>
      </c>
      <c r="H127" s="7" t="s">
        <v>190</v>
      </c>
      <c r="I127" s="7" t="s">
        <v>672</v>
      </c>
      <c r="J127" s="14" t="s">
        <v>176</v>
      </c>
      <c r="K127" s="7"/>
      <c r="L127" s="7"/>
      <c r="M127" s="7"/>
    </row>
    <row r="128" spans="1:13">
      <c r="A128" s="6">
        <v>46078</v>
      </c>
      <c r="B128" s="7" t="s">
        <v>673</v>
      </c>
      <c r="C128" s="7" t="s">
        <v>670</v>
      </c>
      <c r="D128" s="7" t="s">
        <v>846</v>
      </c>
      <c r="E128" s="7">
        <v>126</v>
      </c>
      <c r="F128" s="7">
        <v>1</v>
      </c>
      <c r="G128" s="7">
        <f t="shared" si="4"/>
        <v>126</v>
      </c>
      <c r="H128" s="7" t="s">
        <v>190</v>
      </c>
      <c r="I128" s="7" t="s">
        <v>672</v>
      </c>
      <c r="J128" s="14" t="s">
        <v>176</v>
      </c>
      <c r="K128" s="7"/>
      <c r="L128" s="7"/>
      <c r="M128" s="7"/>
    </row>
    <row r="129" spans="1:13">
      <c r="A129" s="6">
        <v>46078</v>
      </c>
      <c r="B129" s="7" t="s">
        <v>673</v>
      </c>
      <c r="C129" s="7" t="s">
        <v>670</v>
      </c>
      <c r="D129" s="7" t="s">
        <v>847</v>
      </c>
      <c r="E129" s="7">
        <v>70</v>
      </c>
      <c r="F129" s="7">
        <v>1</v>
      </c>
      <c r="G129" s="7">
        <f t="shared" si="4"/>
        <v>70</v>
      </c>
      <c r="H129" s="7" t="s">
        <v>190</v>
      </c>
      <c r="I129" s="7" t="s">
        <v>672</v>
      </c>
      <c r="J129" s="14" t="s">
        <v>176</v>
      </c>
      <c r="K129" s="7"/>
      <c r="L129" s="7"/>
      <c r="M129" s="7"/>
    </row>
  </sheetData>
  <dataValidations count="1">
    <dataValidation type="list" allowBlank="1" showInputMessage="1" showErrorMessage="1" sqref="J2:J129">
      <formula1>"已到货,未到货"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topLeftCell="F1" workbookViewId="0">
      <selection activeCell="D11" sqref="D11"/>
    </sheetView>
  </sheetViews>
  <sheetFormatPr defaultColWidth="8.66666666666667" defaultRowHeight="14"/>
  <cols>
    <col min="1" max="1" width="14.6666666666667" customWidth="1"/>
    <col min="3" max="3" width="20.4166666666667" customWidth="1"/>
    <col min="4" max="4" width="36.1666666666667" customWidth="1"/>
    <col min="5" max="5" width="4.91666666666667" customWidth="1"/>
    <col min="6" max="6" width="11.5833333333333" customWidth="1"/>
    <col min="9" max="9" width="13.1666666666667" customWidth="1"/>
    <col min="10" max="10" width="10.9166666666667" customWidth="1"/>
    <col min="11" max="11" width="14.75" customWidth="1"/>
    <col min="12" max="12" width="14" customWidth="1"/>
  </cols>
  <sheetData>
    <row r="1" s="1" customFormat="1" ht="30.65" customHeight="1" spans="1:14">
      <c r="A1" s="2" t="s">
        <v>128</v>
      </c>
      <c r="B1" s="3" t="s">
        <v>129</v>
      </c>
      <c r="C1" s="4" t="s">
        <v>130</v>
      </c>
      <c r="D1" s="2" t="s">
        <v>131</v>
      </c>
      <c r="E1" s="2" t="s">
        <v>4</v>
      </c>
      <c r="F1" s="2" t="s">
        <v>132</v>
      </c>
      <c r="G1" s="3" t="s">
        <v>133</v>
      </c>
      <c r="H1" s="3" t="s">
        <v>134</v>
      </c>
      <c r="I1" s="3" t="s">
        <v>2</v>
      </c>
      <c r="J1" s="3" t="s">
        <v>135</v>
      </c>
      <c r="K1" s="2" t="s">
        <v>136</v>
      </c>
      <c r="L1" s="2" t="s">
        <v>137</v>
      </c>
      <c r="M1" s="3" t="s">
        <v>138</v>
      </c>
      <c r="N1" s="5"/>
    </row>
    <row r="2" spans="1:14">
      <c r="A2" s="6">
        <v>46114</v>
      </c>
      <c r="B2" s="7" t="s">
        <v>848</v>
      </c>
      <c r="C2" s="7" t="s">
        <v>849</v>
      </c>
      <c r="D2" s="7" t="s">
        <v>850</v>
      </c>
      <c r="E2" s="7">
        <v>1</v>
      </c>
      <c r="F2" s="7">
        <v>1</v>
      </c>
      <c r="G2" s="7">
        <f>F2*E2</f>
        <v>1</v>
      </c>
      <c r="H2" s="7" t="s">
        <v>185</v>
      </c>
      <c r="I2" s="7" t="s">
        <v>851</v>
      </c>
      <c r="J2" s="7" t="s">
        <v>176</v>
      </c>
      <c r="K2" s="7" t="s">
        <v>852</v>
      </c>
      <c r="L2" s="16" t="s">
        <v>853</v>
      </c>
      <c r="M2" s="16" t="s">
        <v>848</v>
      </c>
    </row>
    <row r="3" spans="1:14">
      <c r="A3" s="6">
        <v>46114</v>
      </c>
      <c r="B3" s="7" t="s">
        <v>848</v>
      </c>
      <c r="C3" s="7" t="s">
        <v>854</v>
      </c>
      <c r="D3" s="7" t="s">
        <v>855</v>
      </c>
      <c r="E3" s="7">
        <v>1</v>
      </c>
      <c r="F3" s="7">
        <v>1</v>
      </c>
      <c r="G3" s="7">
        <f>F3*E3</f>
        <v>1</v>
      </c>
      <c r="H3" s="7" t="s">
        <v>185</v>
      </c>
      <c r="I3" s="7" t="s">
        <v>851</v>
      </c>
      <c r="J3" s="7" t="s">
        <v>176</v>
      </c>
      <c r="K3" s="7" t="s">
        <v>852</v>
      </c>
      <c r="L3" s="11"/>
      <c r="M3" s="11"/>
    </row>
    <row r="4" spans="1:14">
      <c r="A4" s="6">
        <v>46114</v>
      </c>
      <c r="B4" s="7" t="s">
        <v>848</v>
      </c>
      <c r="C4" s="7" t="s">
        <v>856</v>
      </c>
      <c r="D4" s="7" t="s">
        <v>857</v>
      </c>
      <c r="E4" s="7">
        <v>1</v>
      </c>
      <c r="F4" s="7">
        <v>1</v>
      </c>
      <c r="G4" s="7">
        <f>F4*E4</f>
        <v>1</v>
      </c>
      <c r="H4" s="7" t="s">
        <v>185</v>
      </c>
      <c r="I4" s="7" t="s">
        <v>851</v>
      </c>
      <c r="J4" s="7" t="s">
        <v>176</v>
      </c>
      <c r="K4" s="7" t="s">
        <v>852</v>
      </c>
      <c r="L4" s="11"/>
      <c r="M4" s="11"/>
    </row>
    <row r="5" spans="1:14">
      <c r="A5" s="6">
        <v>46086</v>
      </c>
      <c r="B5" s="7" t="s">
        <v>848</v>
      </c>
      <c r="C5" s="7" t="s">
        <v>858</v>
      </c>
      <c r="D5" s="7" t="s">
        <v>859</v>
      </c>
      <c r="E5" s="7">
        <v>75</v>
      </c>
      <c r="F5" s="7">
        <v>1</v>
      </c>
      <c r="G5" s="7">
        <f>F5*E5</f>
        <v>75</v>
      </c>
      <c r="H5" s="7" t="s">
        <v>185</v>
      </c>
      <c r="I5" s="7" t="s">
        <v>860</v>
      </c>
      <c r="J5" s="7" t="s">
        <v>176</v>
      </c>
      <c r="K5" s="7" t="s">
        <v>852</v>
      </c>
      <c r="L5" s="11"/>
      <c r="M5" s="11"/>
    </row>
    <row r="6" spans="1:14">
      <c r="A6" s="6">
        <v>46081</v>
      </c>
      <c r="B6" s="7" t="s">
        <v>848</v>
      </c>
      <c r="C6" s="7" t="s">
        <v>861</v>
      </c>
      <c r="D6" s="7" t="s">
        <v>862</v>
      </c>
      <c r="E6" s="7">
        <v>75</v>
      </c>
      <c r="F6" s="7">
        <v>1</v>
      </c>
      <c r="G6" s="7">
        <f t="shared" ref="G6:G18" si="0">F6*E6</f>
        <v>75</v>
      </c>
      <c r="H6" s="7" t="s">
        <v>185</v>
      </c>
      <c r="I6" s="7" t="s">
        <v>863</v>
      </c>
      <c r="J6" s="7" t="s">
        <v>176</v>
      </c>
      <c r="K6" s="7" t="s">
        <v>852</v>
      </c>
      <c r="L6" s="11"/>
      <c r="M6" s="11"/>
    </row>
    <row r="7" spans="1:14">
      <c r="A7" s="6">
        <v>46081</v>
      </c>
      <c r="B7" s="7" t="s">
        <v>848</v>
      </c>
      <c r="C7" s="7" t="s">
        <v>864</v>
      </c>
      <c r="D7" s="7" t="s">
        <v>865</v>
      </c>
      <c r="E7" s="7">
        <v>75</v>
      </c>
      <c r="F7" s="7">
        <v>1</v>
      </c>
      <c r="G7" s="7">
        <f t="shared" si="0"/>
        <v>75</v>
      </c>
      <c r="H7" s="7" t="s">
        <v>185</v>
      </c>
      <c r="I7" s="7" t="s">
        <v>571</v>
      </c>
      <c r="J7" s="7" t="s">
        <v>176</v>
      </c>
      <c r="K7" s="7" t="s">
        <v>852</v>
      </c>
      <c r="L7" s="11"/>
      <c r="M7" s="11"/>
    </row>
    <row r="8" spans="1:14">
      <c r="A8" s="6">
        <v>46081</v>
      </c>
      <c r="B8" s="7" t="s">
        <v>848</v>
      </c>
      <c r="C8" s="7" t="s">
        <v>866</v>
      </c>
      <c r="D8" s="7" t="s">
        <v>867</v>
      </c>
      <c r="E8" s="7">
        <v>75</v>
      </c>
      <c r="F8" s="7">
        <v>1</v>
      </c>
      <c r="G8" s="7">
        <f t="shared" si="0"/>
        <v>75</v>
      </c>
      <c r="H8" s="7" t="s">
        <v>185</v>
      </c>
      <c r="I8" s="7" t="s">
        <v>868</v>
      </c>
      <c r="J8" s="7" t="s">
        <v>176</v>
      </c>
      <c r="K8" s="7" t="s">
        <v>852</v>
      </c>
      <c r="L8" s="11"/>
      <c r="M8" s="11"/>
    </row>
    <row r="9" spans="1:14">
      <c r="A9" s="6">
        <v>46081</v>
      </c>
      <c r="B9" s="7" t="s">
        <v>848</v>
      </c>
      <c r="C9" s="7" t="s">
        <v>768</v>
      </c>
      <c r="D9" s="7" t="s">
        <v>869</v>
      </c>
      <c r="E9" s="7">
        <v>75</v>
      </c>
      <c r="F9" s="7">
        <v>1</v>
      </c>
      <c r="G9" s="7">
        <f t="shared" si="0"/>
        <v>75</v>
      </c>
      <c r="H9" s="7" t="s">
        <v>185</v>
      </c>
      <c r="I9" s="7" t="s">
        <v>870</v>
      </c>
      <c r="J9" s="7" t="s">
        <v>176</v>
      </c>
      <c r="K9" s="7" t="s">
        <v>852</v>
      </c>
      <c r="L9" s="11"/>
      <c r="M9" s="11"/>
    </row>
    <row r="10" spans="1:14">
      <c r="A10" s="6">
        <v>46081</v>
      </c>
      <c r="B10" s="7" t="s">
        <v>848</v>
      </c>
      <c r="C10" s="7" t="s">
        <v>871</v>
      </c>
      <c r="D10" s="7" t="s">
        <v>872</v>
      </c>
      <c r="E10" s="7">
        <v>75</v>
      </c>
      <c r="F10" s="7">
        <v>1</v>
      </c>
      <c r="G10" s="7">
        <f t="shared" si="0"/>
        <v>75</v>
      </c>
      <c r="H10" s="7" t="s">
        <v>185</v>
      </c>
      <c r="I10" s="7" t="s">
        <v>873</v>
      </c>
      <c r="J10" s="7" t="s">
        <v>176</v>
      </c>
      <c r="K10" s="7" t="s">
        <v>852</v>
      </c>
      <c r="L10" s="11"/>
      <c r="M10" s="11"/>
    </row>
    <row r="11" spans="1:14">
      <c r="A11" s="6">
        <v>46081</v>
      </c>
      <c r="B11" s="7" t="s">
        <v>848</v>
      </c>
      <c r="C11" s="7" t="s">
        <v>874</v>
      </c>
      <c r="D11" s="7" t="s">
        <v>875</v>
      </c>
      <c r="E11" s="7">
        <v>75</v>
      </c>
      <c r="F11" s="7">
        <v>1</v>
      </c>
      <c r="G11" s="7">
        <f t="shared" si="0"/>
        <v>75</v>
      </c>
      <c r="H11" s="7" t="s">
        <v>185</v>
      </c>
      <c r="I11" s="7" t="s">
        <v>873</v>
      </c>
      <c r="J11" s="7" t="s">
        <v>176</v>
      </c>
      <c r="K11" s="7" t="s">
        <v>852</v>
      </c>
      <c r="L11" s="11"/>
      <c r="M11" s="11"/>
    </row>
    <row r="12" spans="1:14">
      <c r="A12" s="6">
        <v>46081</v>
      </c>
      <c r="B12" s="7" t="s">
        <v>848</v>
      </c>
      <c r="C12" s="7" t="s">
        <v>876</v>
      </c>
      <c r="D12" s="7" t="s">
        <v>877</v>
      </c>
      <c r="E12" s="7">
        <v>75</v>
      </c>
      <c r="F12" s="7">
        <v>1</v>
      </c>
      <c r="G12" s="7">
        <f t="shared" si="0"/>
        <v>75</v>
      </c>
      <c r="H12" s="7" t="s">
        <v>185</v>
      </c>
      <c r="I12" s="7" t="s">
        <v>863</v>
      </c>
      <c r="J12" s="7" t="s">
        <v>176</v>
      </c>
      <c r="K12" s="7" t="s">
        <v>852</v>
      </c>
      <c r="L12" s="11"/>
      <c r="M12" s="11"/>
    </row>
    <row r="13" spans="1:14">
      <c r="A13" s="6">
        <v>46081</v>
      </c>
      <c r="B13" s="7" t="s">
        <v>848</v>
      </c>
      <c r="C13" s="7" t="s">
        <v>878</v>
      </c>
      <c r="D13" s="7" t="s">
        <v>879</v>
      </c>
      <c r="E13" s="7">
        <v>5</v>
      </c>
      <c r="F13" s="7">
        <v>1</v>
      </c>
      <c r="G13" s="7">
        <f t="shared" si="0"/>
        <v>5</v>
      </c>
      <c r="H13" s="7" t="s">
        <v>260</v>
      </c>
      <c r="I13" s="7" t="s">
        <v>863</v>
      </c>
      <c r="J13" s="7" t="s">
        <v>176</v>
      </c>
      <c r="K13" s="7" t="s">
        <v>852</v>
      </c>
      <c r="L13" s="11"/>
      <c r="M13" s="11"/>
    </row>
    <row r="14" spans="1:14">
      <c r="A14" s="6">
        <v>46081</v>
      </c>
      <c r="B14" s="7" t="s">
        <v>848</v>
      </c>
      <c r="C14" s="7" t="s">
        <v>222</v>
      </c>
      <c r="D14" s="7" t="s">
        <v>880</v>
      </c>
      <c r="E14" s="7">
        <v>15</v>
      </c>
      <c r="F14" s="7">
        <v>1</v>
      </c>
      <c r="G14" s="7">
        <f t="shared" si="0"/>
        <v>15</v>
      </c>
      <c r="H14" s="7" t="s">
        <v>881</v>
      </c>
      <c r="I14" s="7" t="s">
        <v>863</v>
      </c>
      <c r="J14" s="7" t="s">
        <v>176</v>
      </c>
      <c r="K14" s="7" t="s">
        <v>852</v>
      </c>
      <c r="L14" s="11"/>
      <c r="M14" s="11"/>
    </row>
    <row r="15" spans="1:14">
      <c r="A15" s="6">
        <v>46081</v>
      </c>
      <c r="B15" s="7" t="s">
        <v>848</v>
      </c>
      <c r="C15" s="7" t="s">
        <v>882</v>
      </c>
      <c r="D15" s="7" t="s">
        <v>883</v>
      </c>
      <c r="E15" s="7">
        <v>75</v>
      </c>
      <c r="F15" s="7">
        <v>1</v>
      </c>
      <c r="G15" s="7">
        <f t="shared" si="0"/>
        <v>75</v>
      </c>
      <c r="H15" s="7" t="s">
        <v>185</v>
      </c>
      <c r="I15" s="7" t="s">
        <v>863</v>
      </c>
      <c r="J15" s="7" t="s">
        <v>176</v>
      </c>
      <c r="K15" s="7" t="s">
        <v>852</v>
      </c>
      <c r="L15" s="11"/>
      <c r="M15" s="11"/>
    </row>
    <row r="16" spans="1:14">
      <c r="A16" s="6">
        <v>46081</v>
      </c>
      <c r="B16" s="7" t="s">
        <v>848</v>
      </c>
      <c r="C16" s="7" t="s">
        <v>882</v>
      </c>
      <c r="D16" s="7" t="s">
        <v>884</v>
      </c>
      <c r="E16" s="7">
        <v>2</v>
      </c>
      <c r="F16" s="7">
        <v>1</v>
      </c>
      <c r="G16" s="7">
        <f t="shared" si="0"/>
        <v>2</v>
      </c>
      <c r="H16" s="7" t="s">
        <v>885</v>
      </c>
      <c r="I16" s="7" t="s">
        <v>886</v>
      </c>
      <c r="J16" s="7" t="s">
        <v>176</v>
      </c>
      <c r="K16" s="7" t="s">
        <v>852</v>
      </c>
      <c r="L16" s="11"/>
      <c r="M16" s="11"/>
    </row>
    <row r="17" spans="1:13">
      <c r="A17" s="6">
        <v>46031</v>
      </c>
      <c r="B17" s="7" t="s">
        <v>848</v>
      </c>
      <c r="C17" s="7" t="s">
        <v>887</v>
      </c>
      <c r="D17" s="7" t="s">
        <v>888</v>
      </c>
      <c r="E17" s="7">
        <v>20</v>
      </c>
      <c r="F17" s="7">
        <v>1</v>
      </c>
      <c r="G17" s="7">
        <f t="shared" si="0"/>
        <v>20</v>
      </c>
      <c r="H17" s="7" t="s">
        <v>185</v>
      </c>
      <c r="I17" s="7" t="s">
        <v>889</v>
      </c>
      <c r="J17" s="7" t="s">
        <v>176</v>
      </c>
      <c r="K17" s="7" t="s">
        <v>852</v>
      </c>
      <c r="L17" s="11"/>
      <c r="M17" s="11"/>
    </row>
    <row r="18" spans="1:13">
      <c r="A18" s="6">
        <v>46037</v>
      </c>
      <c r="B18" s="7" t="s">
        <v>848</v>
      </c>
      <c r="C18" s="7" t="s">
        <v>890</v>
      </c>
      <c r="D18" s="7" t="s">
        <v>891</v>
      </c>
      <c r="E18" s="7">
        <v>5</v>
      </c>
      <c r="F18" s="7">
        <v>1</v>
      </c>
      <c r="G18" s="7">
        <f t="shared" si="0"/>
        <v>5</v>
      </c>
      <c r="H18" s="7" t="s">
        <v>185</v>
      </c>
      <c r="I18" s="7" t="s">
        <v>892</v>
      </c>
      <c r="J18" s="7" t="s">
        <v>176</v>
      </c>
      <c r="K18" s="7" t="s">
        <v>852</v>
      </c>
      <c r="L18" s="13"/>
      <c r="M18" s="13"/>
    </row>
  </sheetData>
  <mergeCells count="2">
    <mergeCell ref="L2:L18"/>
    <mergeCell ref="M2:M18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"/>
  <sheetViews>
    <sheetView topLeftCell="A48" workbookViewId="0">
      <selection activeCell="J1" sqref="J$1:K$1048576"/>
    </sheetView>
  </sheetViews>
  <sheetFormatPr defaultColWidth="8.66666666666667" defaultRowHeight="14"/>
  <cols>
    <col min="1" max="1" width="13.3333333333333" customWidth="1"/>
    <col min="3" max="3" width="24.4166666666667" customWidth="1"/>
    <col min="4" max="4" width="27" customWidth="1"/>
    <col min="5" max="5" width="7.33333333333333" customWidth="1"/>
    <col min="6" max="6" width="10.0833333333333" customWidth="1"/>
    <col min="9" max="9" width="14.9166666666667" customWidth="1"/>
    <col min="11" max="11" width="9.08333333333333"/>
  </cols>
  <sheetData>
    <row r="1" s="1" customFormat="1" ht="30.65" customHeight="1" spans="1:14">
      <c r="A1" s="2" t="s">
        <v>128</v>
      </c>
      <c r="B1" s="3" t="s">
        <v>129</v>
      </c>
      <c r="C1" s="4" t="s">
        <v>130</v>
      </c>
      <c r="D1" s="2" t="s">
        <v>131</v>
      </c>
      <c r="E1" s="2" t="s">
        <v>4</v>
      </c>
      <c r="F1" s="2" t="s">
        <v>132</v>
      </c>
      <c r="G1" s="3" t="s">
        <v>133</v>
      </c>
      <c r="H1" s="3" t="s">
        <v>134</v>
      </c>
      <c r="I1" s="3" t="s">
        <v>2</v>
      </c>
      <c r="J1" s="3" t="s">
        <v>135</v>
      </c>
      <c r="K1" s="2" t="s">
        <v>136</v>
      </c>
      <c r="L1" s="2" t="s">
        <v>137</v>
      </c>
      <c r="M1" s="3" t="s">
        <v>138</v>
      </c>
      <c r="N1" s="5"/>
    </row>
    <row r="2" spans="1:14">
      <c r="A2" s="6">
        <v>45986</v>
      </c>
      <c r="B2" s="7" t="s">
        <v>848</v>
      </c>
      <c r="C2" s="7" t="s">
        <v>893</v>
      </c>
      <c r="D2" s="7" t="s">
        <v>894</v>
      </c>
      <c r="E2" s="7">
        <v>12</v>
      </c>
      <c r="F2" s="7">
        <v>1</v>
      </c>
      <c r="G2" s="7">
        <f t="shared" ref="G2:G15" si="0">F2*E2</f>
        <v>12</v>
      </c>
      <c r="H2" s="7" t="s">
        <v>142</v>
      </c>
      <c r="I2" s="7" t="s">
        <v>895</v>
      </c>
      <c r="J2" s="8"/>
      <c r="K2" s="8"/>
      <c r="L2" s="16" t="s">
        <v>228</v>
      </c>
      <c r="M2" s="8"/>
    </row>
    <row r="3" spans="1:14">
      <c r="A3" s="6">
        <v>45986</v>
      </c>
      <c r="B3" s="7" t="s">
        <v>848</v>
      </c>
      <c r="C3" s="7" t="s">
        <v>482</v>
      </c>
      <c r="D3" s="7" t="s">
        <v>896</v>
      </c>
      <c r="E3" s="7">
        <v>12</v>
      </c>
      <c r="F3" s="7">
        <v>1</v>
      </c>
      <c r="G3" s="7">
        <f t="shared" si="0"/>
        <v>12</v>
      </c>
      <c r="H3" s="7" t="s">
        <v>897</v>
      </c>
      <c r="I3" s="7" t="s">
        <v>898</v>
      </c>
      <c r="J3" s="10"/>
      <c r="K3" s="10"/>
      <c r="L3" s="11"/>
      <c r="M3" s="10"/>
    </row>
    <row r="4" spans="1:14">
      <c r="A4" s="6">
        <v>45986</v>
      </c>
      <c r="B4" s="7" t="s">
        <v>848</v>
      </c>
      <c r="C4" s="7" t="s">
        <v>899</v>
      </c>
      <c r="D4" s="7" t="s">
        <v>900</v>
      </c>
      <c r="E4" s="7">
        <v>100</v>
      </c>
      <c r="F4" s="7">
        <v>1</v>
      </c>
      <c r="G4" s="7">
        <f t="shared" si="0"/>
        <v>100</v>
      </c>
      <c r="H4" s="7" t="s">
        <v>190</v>
      </c>
      <c r="I4" s="7" t="s">
        <v>901</v>
      </c>
      <c r="J4" s="10"/>
      <c r="K4" s="10"/>
      <c r="L4" s="11"/>
      <c r="M4" s="10"/>
    </row>
    <row r="5" spans="1:14">
      <c r="A5" s="6">
        <v>46081</v>
      </c>
      <c r="B5" s="7" t="s">
        <v>848</v>
      </c>
      <c r="C5" s="7" t="s">
        <v>893</v>
      </c>
      <c r="D5" s="7" t="s">
        <v>894</v>
      </c>
      <c r="E5" s="7">
        <v>75</v>
      </c>
      <c r="F5" s="7">
        <v>1</v>
      </c>
      <c r="G5" s="7">
        <f t="shared" si="0"/>
        <v>75</v>
      </c>
      <c r="H5" s="7" t="s">
        <v>142</v>
      </c>
      <c r="I5" s="7" t="s">
        <v>895</v>
      </c>
      <c r="J5" s="10"/>
      <c r="K5" s="10"/>
      <c r="L5" s="11"/>
      <c r="M5" s="10"/>
    </row>
    <row r="6" spans="1:14">
      <c r="A6" s="6">
        <v>46081</v>
      </c>
      <c r="B6" s="7" t="s">
        <v>848</v>
      </c>
      <c r="C6" s="7" t="s">
        <v>482</v>
      </c>
      <c r="D6" s="7" t="s">
        <v>896</v>
      </c>
      <c r="E6" s="7">
        <v>77</v>
      </c>
      <c r="F6" s="7">
        <v>1</v>
      </c>
      <c r="G6" s="7">
        <f t="shared" si="0"/>
        <v>77</v>
      </c>
      <c r="H6" s="7" t="s">
        <v>897</v>
      </c>
      <c r="I6" s="7" t="s">
        <v>898</v>
      </c>
      <c r="J6" s="10"/>
      <c r="K6" s="10"/>
      <c r="L6" s="11"/>
      <c r="M6" s="10"/>
    </row>
    <row r="7" spans="1:14">
      <c r="A7" s="6">
        <v>46081</v>
      </c>
      <c r="B7" s="7" t="s">
        <v>848</v>
      </c>
      <c r="C7" s="7" t="s">
        <v>899</v>
      </c>
      <c r="D7" s="7" t="s">
        <v>900</v>
      </c>
      <c r="E7" s="7">
        <v>600</v>
      </c>
      <c r="F7" s="7">
        <v>1</v>
      </c>
      <c r="G7" s="7">
        <f t="shared" si="0"/>
        <v>600</v>
      </c>
      <c r="H7" s="7" t="s">
        <v>190</v>
      </c>
      <c r="I7" s="7" t="s">
        <v>901</v>
      </c>
      <c r="J7" s="10"/>
      <c r="K7" s="10"/>
      <c r="L7" s="11"/>
      <c r="M7" s="10"/>
    </row>
    <row r="8" spans="1:14">
      <c r="A8" s="6">
        <v>46081</v>
      </c>
      <c r="B8" s="7" t="s">
        <v>848</v>
      </c>
      <c r="C8" s="7" t="s">
        <v>902</v>
      </c>
      <c r="D8" s="7" t="s">
        <v>903</v>
      </c>
      <c r="E8" s="7">
        <v>1000</v>
      </c>
      <c r="F8" s="7">
        <v>1</v>
      </c>
      <c r="G8" s="7">
        <f t="shared" si="0"/>
        <v>1000</v>
      </c>
      <c r="H8" s="7" t="s">
        <v>190</v>
      </c>
      <c r="I8" s="7" t="s">
        <v>901</v>
      </c>
      <c r="J8" s="10"/>
      <c r="K8" s="10"/>
      <c r="L8" s="11"/>
      <c r="M8" s="10"/>
    </row>
    <row r="9" spans="1:14">
      <c r="A9" s="6">
        <v>46081</v>
      </c>
      <c r="B9" s="7" t="s">
        <v>848</v>
      </c>
      <c r="C9" s="7" t="s">
        <v>904</v>
      </c>
      <c r="D9" s="7" t="s">
        <v>905</v>
      </c>
      <c r="E9" s="7">
        <v>77</v>
      </c>
      <c r="F9" s="7">
        <v>1</v>
      </c>
      <c r="G9" s="7">
        <f t="shared" si="0"/>
        <v>77</v>
      </c>
      <c r="H9" s="7" t="s">
        <v>142</v>
      </c>
      <c r="I9" s="7" t="s">
        <v>227</v>
      </c>
      <c r="J9" s="12"/>
      <c r="K9" s="12"/>
      <c r="L9" s="13"/>
      <c r="M9" s="12"/>
    </row>
    <row r="10" spans="1:14">
      <c r="A10" s="6">
        <v>45967</v>
      </c>
      <c r="B10" s="7" t="s">
        <v>673</v>
      </c>
      <c r="C10" s="14" t="s">
        <v>906</v>
      </c>
      <c r="D10" s="14" t="s">
        <v>907</v>
      </c>
      <c r="E10" s="7">
        <v>3</v>
      </c>
      <c r="F10" s="7">
        <v>10</v>
      </c>
      <c r="G10" s="7">
        <f t="shared" si="0"/>
        <v>30</v>
      </c>
      <c r="H10" s="7" t="s">
        <v>142</v>
      </c>
      <c r="I10" s="7" t="s">
        <v>420</v>
      </c>
      <c r="J10" s="21" t="s">
        <v>176</v>
      </c>
      <c r="K10" s="24">
        <v>46371</v>
      </c>
      <c r="L10" s="27" t="s">
        <v>908</v>
      </c>
      <c r="M10" s="16" t="s">
        <v>183</v>
      </c>
    </row>
    <row r="11" spans="1:14">
      <c r="A11" s="6">
        <v>45967</v>
      </c>
      <c r="B11" s="7" t="s">
        <v>673</v>
      </c>
      <c r="C11" s="7" t="s">
        <v>482</v>
      </c>
      <c r="D11" s="7" t="s">
        <v>909</v>
      </c>
      <c r="E11" s="7">
        <v>36</v>
      </c>
      <c r="F11" s="7">
        <v>10</v>
      </c>
      <c r="G11" s="7">
        <f t="shared" si="0"/>
        <v>360</v>
      </c>
      <c r="H11" s="7" t="s">
        <v>142</v>
      </c>
      <c r="I11" s="7" t="s">
        <v>910</v>
      </c>
      <c r="J11" s="21" t="s">
        <v>176</v>
      </c>
      <c r="K11" s="24">
        <v>46371</v>
      </c>
      <c r="L11" s="27" t="s">
        <v>911</v>
      </c>
      <c r="M11" s="11"/>
    </row>
    <row r="12" spans="1:14">
      <c r="A12" s="6">
        <v>45967</v>
      </c>
      <c r="B12" s="7" t="s">
        <v>673</v>
      </c>
      <c r="C12" s="14" t="s">
        <v>912</v>
      </c>
      <c r="D12" s="14" t="s">
        <v>913</v>
      </c>
      <c r="E12" s="7">
        <v>75</v>
      </c>
      <c r="F12" s="7">
        <v>10</v>
      </c>
      <c r="G12" s="7">
        <f t="shared" si="0"/>
        <v>750</v>
      </c>
      <c r="H12" s="7" t="s">
        <v>190</v>
      </c>
      <c r="I12" s="7" t="s">
        <v>914</v>
      </c>
      <c r="J12" s="21" t="s">
        <v>176</v>
      </c>
      <c r="K12" s="24">
        <v>46371</v>
      </c>
      <c r="L12" s="16" t="s">
        <v>908</v>
      </c>
      <c r="M12" s="11"/>
    </row>
    <row r="13" spans="1:14">
      <c r="A13" s="6">
        <v>45967</v>
      </c>
      <c r="B13" s="7" t="s">
        <v>673</v>
      </c>
      <c r="C13" s="7" t="s">
        <v>915</v>
      </c>
      <c r="D13" s="7" t="s">
        <v>916</v>
      </c>
      <c r="E13" s="7">
        <v>150</v>
      </c>
      <c r="F13" s="7">
        <v>10</v>
      </c>
      <c r="G13" s="7">
        <f t="shared" si="0"/>
        <v>1500</v>
      </c>
      <c r="H13" s="7" t="s">
        <v>190</v>
      </c>
      <c r="I13" s="7" t="s">
        <v>914</v>
      </c>
      <c r="J13" s="21" t="s">
        <v>176</v>
      </c>
      <c r="K13" s="24">
        <v>46371</v>
      </c>
      <c r="L13" s="16" t="s">
        <v>908</v>
      </c>
      <c r="M13" s="11"/>
    </row>
    <row r="14" spans="1:14">
      <c r="A14" s="6">
        <v>45967</v>
      </c>
      <c r="B14" s="7" t="s">
        <v>673</v>
      </c>
      <c r="C14" s="7" t="s">
        <v>917</v>
      </c>
      <c r="D14" s="7" t="s">
        <v>918</v>
      </c>
      <c r="E14" s="7">
        <v>150</v>
      </c>
      <c r="F14" s="7">
        <v>10</v>
      </c>
      <c r="G14" s="7">
        <f t="shared" si="0"/>
        <v>1500</v>
      </c>
      <c r="H14" s="7" t="s">
        <v>190</v>
      </c>
      <c r="I14" s="7" t="s">
        <v>914</v>
      </c>
      <c r="J14" s="21" t="s">
        <v>176</v>
      </c>
      <c r="K14" s="24">
        <v>46371</v>
      </c>
      <c r="L14" s="16" t="s">
        <v>908</v>
      </c>
      <c r="M14" s="13"/>
    </row>
    <row r="15" spans="1:14">
      <c r="A15" s="6">
        <v>45967</v>
      </c>
      <c r="B15" s="7" t="s">
        <v>673</v>
      </c>
      <c r="C15" s="7" t="s">
        <v>839</v>
      </c>
      <c r="D15" s="7" t="s">
        <v>919</v>
      </c>
      <c r="E15" s="7">
        <v>3</v>
      </c>
      <c r="F15" s="7">
        <v>1</v>
      </c>
      <c r="G15" s="7">
        <f t="shared" si="0"/>
        <v>3</v>
      </c>
      <c r="H15" s="7" t="s">
        <v>167</v>
      </c>
      <c r="I15" s="7" t="s">
        <v>227</v>
      </c>
      <c r="J15" s="20" t="s">
        <v>176</v>
      </c>
      <c r="K15" s="33">
        <v>46371</v>
      </c>
      <c r="L15" s="34" t="s">
        <v>908</v>
      </c>
      <c r="M15" s="27" t="s">
        <v>183</v>
      </c>
    </row>
    <row r="16" spans="1:14">
      <c r="A16" s="6">
        <v>45967</v>
      </c>
      <c r="B16" s="7" t="s">
        <v>429</v>
      </c>
      <c r="C16" s="7" t="s">
        <v>88</v>
      </c>
      <c r="D16" s="7" t="s">
        <v>920</v>
      </c>
      <c r="E16" s="7">
        <v>1</v>
      </c>
      <c r="F16" s="7">
        <v>10</v>
      </c>
      <c r="G16" s="7">
        <f t="shared" ref="G16:G51" si="1">F16*E16</f>
        <v>10</v>
      </c>
      <c r="H16" s="7" t="s">
        <v>142</v>
      </c>
      <c r="I16" s="7" t="s">
        <v>420</v>
      </c>
      <c r="J16" s="21" t="s">
        <v>176</v>
      </c>
      <c r="K16" s="24">
        <v>46092</v>
      </c>
      <c r="L16" s="16" t="s">
        <v>303</v>
      </c>
      <c r="M16" s="16" t="s">
        <v>183</v>
      </c>
    </row>
    <row r="17" spans="1:13">
      <c r="A17" s="6">
        <v>45967</v>
      </c>
      <c r="B17" s="7" t="s">
        <v>429</v>
      </c>
      <c r="C17" s="7" t="s">
        <v>482</v>
      </c>
      <c r="D17" s="7" t="s">
        <v>921</v>
      </c>
      <c r="E17" s="7">
        <v>6</v>
      </c>
      <c r="F17" s="7">
        <v>10</v>
      </c>
      <c r="G17" s="7">
        <f t="shared" si="1"/>
        <v>60</v>
      </c>
      <c r="H17" s="7" t="s">
        <v>897</v>
      </c>
      <c r="I17" s="7" t="s">
        <v>922</v>
      </c>
      <c r="J17" s="22"/>
      <c r="K17" s="29"/>
      <c r="L17" s="11"/>
      <c r="M17" s="11"/>
    </row>
    <row r="18" spans="1:13">
      <c r="A18" s="6">
        <v>45967</v>
      </c>
      <c r="B18" s="7" t="s">
        <v>429</v>
      </c>
      <c r="C18" s="7" t="s">
        <v>923</v>
      </c>
      <c r="D18" s="7" t="s">
        <v>924</v>
      </c>
      <c r="E18" s="7">
        <v>6</v>
      </c>
      <c r="F18" s="7">
        <v>10</v>
      </c>
      <c r="G18" s="7">
        <f t="shared" si="1"/>
        <v>60</v>
      </c>
      <c r="H18" s="7" t="s">
        <v>142</v>
      </c>
      <c r="I18" s="7" t="s">
        <v>925</v>
      </c>
      <c r="J18" s="22"/>
      <c r="K18" s="29"/>
      <c r="L18" s="11"/>
      <c r="M18" s="11"/>
    </row>
    <row r="19" spans="1:13">
      <c r="A19" s="6">
        <v>45967</v>
      </c>
      <c r="B19" s="7" t="s">
        <v>429</v>
      </c>
      <c r="C19" s="7" t="s">
        <v>912</v>
      </c>
      <c r="D19" s="7" t="s">
        <v>926</v>
      </c>
      <c r="E19" s="7">
        <v>36</v>
      </c>
      <c r="F19" s="7">
        <v>10</v>
      </c>
      <c r="G19" s="7">
        <f t="shared" si="1"/>
        <v>360</v>
      </c>
      <c r="H19" s="7" t="s">
        <v>190</v>
      </c>
      <c r="I19" s="7" t="s">
        <v>914</v>
      </c>
      <c r="J19" s="22"/>
      <c r="K19" s="29"/>
      <c r="L19" s="11"/>
      <c r="M19" s="11"/>
    </row>
    <row r="20" spans="1:13">
      <c r="A20" s="6">
        <v>45967</v>
      </c>
      <c r="B20" s="7" t="s">
        <v>429</v>
      </c>
      <c r="C20" s="7" t="s">
        <v>912</v>
      </c>
      <c r="D20" s="7" t="s">
        <v>927</v>
      </c>
      <c r="E20" s="7">
        <v>36</v>
      </c>
      <c r="F20" s="7">
        <v>10</v>
      </c>
      <c r="G20" s="7">
        <f t="shared" si="1"/>
        <v>360</v>
      </c>
      <c r="H20" s="7" t="s">
        <v>190</v>
      </c>
      <c r="I20" s="7" t="s">
        <v>914</v>
      </c>
      <c r="J20" s="22"/>
      <c r="K20" s="29"/>
      <c r="L20" s="11"/>
      <c r="M20" s="11"/>
    </row>
    <row r="21" spans="1:13">
      <c r="A21" s="6">
        <v>45967</v>
      </c>
      <c r="B21" s="7" t="s">
        <v>429</v>
      </c>
      <c r="C21" s="7" t="s">
        <v>912</v>
      </c>
      <c r="D21" s="7" t="s">
        <v>928</v>
      </c>
      <c r="E21" s="7">
        <v>24</v>
      </c>
      <c r="F21" s="7">
        <v>10</v>
      </c>
      <c r="G21" s="7">
        <f t="shared" si="1"/>
        <v>240</v>
      </c>
      <c r="H21" s="7" t="s">
        <v>190</v>
      </c>
      <c r="I21" s="7" t="s">
        <v>914</v>
      </c>
      <c r="J21" s="22"/>
      <c r="K21" s="29"/>
      <c r="L21" s="11"/>
      <c r="M21" s="11"/>
    </row>
    <row r="22" spans="1:13">
      <c r="A22" s="6">
        <v>45967</v>
      </c>
      <c r="B22" s="7" t="s">
        <v>429</v>
      </c>
      <c r="C22" s="7" t="s">
        <v>929</v>
      </c>
      <c r="D22" s="7" t="s">
        <v>930</v>
      </c>
      <c r="E22" s="7">
        <v>36</v>
      </c>
      <c r="F22" s="7">
        <v>10</v>
      </c>
      <c r="G22" s="7">
        <f t="shared" si="1"/>
        <v>360</v>
      </c>
      <c r="H22" s="7" t="s">
        <v>190</v>
      </c>
      <c r="I22" s="7" t="s">
        <v>931</v>
      </c>
      <c r="J22" s="22"/>
      <c r="K22" s="29"/>
      <c r="L22" s="11"/>
      <c r="M22" s="11"/>
    </row>
    <row r="23" spans="1:13">
      <c r="A23" s="6">
        <v>45967</v>
      </c>
      <c r="B23" s="7" t="s">
        <v>429</v>
      </c>
      <c r="C23" s="7" t="s">
        <v>932</v>
      </c>
      <c r="D23" s="7" t="s">
        <v>933</v>
      </c>
      <c r="E23" s="7">
        <v>6</v>
      </c>
      <c r="F23" s="7">
        <v>10</v>
      </c>
      <c r="G23" s="7">
        <f t="shared" si="1"/>
        <v>60</v>
      </c>
      <c r="H23" s="7" t="s">
        <v>190</v>
      </c>
      <c r="I23" s="7" t="s">
        <v>934</v>
      </c>
      <c r="J23" s="23"/>
      <c r="K23" s="30"/>
      <c r="L23" s="13"/>
      <c r="M23" s="13"/>
    </row>
    <row r="24" spans="1:13">
      <c r="A24" s="6">
        <v>45967</v>
      </c>
      <c r="B24" s="7" t="s">
        <v>935</v>
      </c>
      <c r="C24" s="7" t="s">
        <v>103</v>
      </c>
      <c r="D24" s="7" t="s">
        <v>936</v>
      </c>
      <c r="E24" s="7">
        <v>1</v>
      </c>
      <c r="F24" s="7">
        <v>10</v>
      </c>
      <c r="G24" s="7">
        <f t="shared" si="1"/>
        <v>10</v>
      </c>
      <c r="H24" s="7" t="s">
        <v>142</v>
      </c>
      <c r="I24" s="7" t="s">
        <v>420</v>
      </c>
      <c r="J24" s="21" t="s">
        <v>176</v>
      </c>
      <c r="K24" s="35">
        <v>46367</v>
      </c>
      <c r="L24" s="8" t="s">
        <v>303</v>
      </c>
      <c r="M24" s="8" t="s">
        <v>183</v>
      </c>
    </row>
    <row r="25" spans="1:13">
      <c r="A25" s="6">
        <v>45967</v>
      </c>
      <c r="B25" s="7" t="s">
        <v>935</v>
      </c>
      <c r="C25" s="7" t="s">
        <v>912</v>
      </c>
      <c r="D25" s="7" t="s">
        <v>937</v>
      </c>
      <c r="E25" s="7">
        <v>75</v>
      </c>
      <c r="F25" s="7">
        <v>10</v>
      </c>
      <c r="G25" s="7">
        <f t="shared" si="1"/>
        <v>750</v>
      </c>
      <c r="H25" s="7" t="s">
        <v>190</v>
      </c>
      <c r="I25" s="7" t="s">
        <v>914</v>
      </c>
      <c r="J25" s="22"/>
      <c r="K25" s="10"/>
      <c r="L25" s="10"/>
      <c r="M25" s="10"/>
    </row>
    <row r="26" spans="1:13">
      <c r="A26" s="6">
        <v>45967</v>
      </c>
      <c r="B26" s="7" t="s">
        <v>935</v>
      </c>
      <c r="C26" s="7" t="s">
        <v>915</v>
      </c>
      <c r="D26" s="7" t="s">
        <v>938</v>
      </c>
      <c r="E26" s="7">
        <v>90</v>
      </c>
      <c r="F26" s="7">
        <v>10</v>
      </c>
      <c r="G26" s="7">
        <f t="shared" si="1"/>
        <v>900</v>
      </c>
      <c r="H26" s="7" t="s">
        <v>190</v>
      </c>
      <c r="I26" s="7" t="s">
        <v>914</v>
      </c>
      <c r="J26" s="22"/>
      <c r="K26" s="10"/>
      <c r="L26" s="10"/>
      <c r="M26" s="10"/>
    </row>
    <row r="27" spans="1:13">
      <c r="A27" s="6">
        <v>45967</v>
      </c>
      <c r="B27" s="7" t="s">
        <v>935</v>
      </c>
      <c r="C27" s="7" t="s">
        <v>915</v>
      </c>
      <c r="D27" s="7" t="s">
        <v>939</v>
      </c>
      <c r="E27" s="7">
        <v>40</v>
      </c>
      <c r="F27" s="7">
        <v>10</v>
      </c>
      <c r="G27" s="7">
        <f t="shared" si="1"/>
        <v>400</v>
      </c>
      <c r="H27" s="7" t="s">
        <v>190</v>
      </c>
      <c r="I27" s="7" t="s">
        <v>914</v>
      </c>
      <c r="J27" s="23"/>
      <c r="K27" s="12"/>
      <c r="L27" s="12"/>
      <c r="M27" s="12"/>
    </row>
    <row r="28" spans="1:13">
      <c r="A28" s="6">
        <v>46001</v>
      </c>
      <c r="B28" s="7" t="s">
        <v>429</v>
      </c>
      <c r="C28" s="7" t="s">
        <v>482</v>
      </c>
      <c r="D28" s="7" t="s">
        <v>940</v>
      </c>
      <c r="E28" s="7">
        <v>6</v>
      </c>
      <c r="F28" s="7">
        <v>1</v>
      </c>
      <c r="G28" s="7">
        <f t="shared" si="1"/>
        <v>6</v>
      </c>
      <c r="H28" s="7" t="s">
        <v>897</v>
      </c>
      <c r="I28" s="7" t="s">
        <v>922</v>
      </c>
      <c r="J28" s="20"/>
      <c r="K28" s="34"/>
      <c r="L28" s="34"/>
      <c r="M28" s="34"/>
    </row>
    <row r="29" spans="1:13">
      <c r="A29" s="6">
        <v>46021</v>
      </c>
      <c r="B29" s="7" t="s">
        <v>673</v>
      </c>
      <c r="C29" s="14" t="s">
        <v>912</v>
      </c>
      <c r="D29" s="14" t="s">
        <v>941</v>
      </c>
      <c r="E29" s="7">
        <v>100</v>
      </c>
      <c r="F29" s="7">
        <v>1</v>
      </c>
      <c r="G29" s="7">
        <f t="shared" si="1"/>
        <v>100</v>
      </c>
      <c r="H29" s="7" t="s">
        <v>190</v>
      </c>
      <c r="I29" s="7" t="s">
        <v>914</v>
      </c>
      <c r="J29" s="20" t="s">
        <v>176</v>
      </c>
      <c r="K29" s="34"/>
      <c r="L29" s="34"/>
      <c r="M29" s="34"/>
    </row>
    <row r="30" spans="1:13">
      <c r="A30" s="6">
        <v>46028</v>
      </c>
      <c r="B30" s="7" t="s">
        <v>673</v>
      </c>
      <c r="C30" s="7" t="s">
        <v>482</v>
      </c>
      <c r="D30" s="7" t="s">
        <v>909</v>
      </c>
      <c r="E30" s="7">
        <v>16</v>
      </c>
      <c r="F30" s="7">
        <v>1</v>
      </c>
      <c r="G30" s="7">
        <f t="shared" si="1"/>
        <v>16</v>
      </c>
      <c r="H30" s="7" t="s">
        <v>142</v>
      </c>
      <c r="I30" s="7" t="s">
        <v>910</v>
      </c>
      <c r="J30" s="20"/>
      <c r="K30" s="34"/>
      <c r="L30" s="34"/>
      <c r="M30" s="34"/>
    </row>
    <row r="31" spans="1:13">
      <c r="A31" s="6">
        <v>46028</v>
      </c>
      <c r="B31" s="7" t="s">
        <v>673</v>
      </c>
      <c r="C31" s="14" t="s">
        <v>912</v>
      </c>
      <c r="D31" s="14" t="s">
        <v>942</v>
      </c>
      <c r="E31" s="7">
        <v>100</v>
      </c>
      <c r="F31" s="7">
        <v>1</v>
      </c>
      <c r="G31" s="7">
        <f t="shared" si="1"/>
        <v>100</v>
      </c>
      <c r="H31" s="7" t="s">
        <v>190</v>
      </c>
      <c r="I31" s="7" t="s">
        <v>943</v>
      </c>
      <c r="J31" s="20" t="s">
        <v>176</v>
      </c>
      <c r="K31" s="34"/>
      <c r="L31" s="34"/>
      <c r="M31" s="34"/>
    </row>
    <row r="32" spans="1:13">
      <c r="A32" s="6">
        <v>46028</v>
      </c>
      <c r="B32" s="7" t="s">
        <v>673</v>
      </c>
      <c r="C32" s="14" t="s">
        <v>944</v>
      </c>
      <c r="D32" s="14" t="s">
        <v>945</v>
      </c>
      <c r="E32" s="7">
        <v>100</v>
      </c>
      <c r="F32" s="7">
        <v>1</v>
      </c>
      <c r="G32" s="7">
        <f t="shared" si="1"/>
        <v>100</v>
      </c>
      <c r="H32" s="7" t="s">
        <v>190</v>
      </c>
      <c r="I32" s="7" t="s">
        <v>943</v>
      </c>
      <c r="J32" s="20" t="s">
        <v>176</v>
      </c>
      <c r="K32" s="34"/>
      <c r="L32" s="34"/>
      <c r="M32" s="34"/>
    </row>
    <row r="33" spans="1:13">
      <c r="A33" s="6">
        <v>46028</v>
      </c>
      <c r="B33" s="7" t="s">
        <v>673</v>
      </c>
      <c r="C33" s="14" t="s">
        <v>946</v>
      </c>
      <c r="D33" s="14" t="s">
        <v>916</v>
      </c>
      <c r="E33" s="7">
        <v>100</v>
      </c>
      <c r="F33" s="7">
        <v>1</v>
      </c>
      <c r="G33" s="7">
        <f t="shared" si="1"/>
        <v>100</v>
      </c>
      <c r="H33" s="7" t="s">
        <v>190</v>
      </c>
      <c r="I33" s="7" t="s">
        <v>943</v>
      </c>
      <c r="J33" s="20" t="s">
        <v>176</v>
      </c>
      <c r="K33" s="34"/>
      <c r="L33" s="34"/>
      <c r="M33" s="34"/>
    </row>
    <row r="34" spans="1:13">
      <c r="A34" s="6">
        <v>46028</v>
      </c>
      <c r="B34" s="7" t="s">
        <v>673</v>
      </c>
      <c r="C34" s="14" t="s">
        <v>915</v>
      </c>
      <c r="D34" s="14" t="s">
        <v>928</v>
      </c>
      <c r="E34" s="7">
        <v>100</v>
      </c>
      <c r="F34" s="7">
        <v>1</v>
      </c>
      <c r="G34" s="7">
        <f t="shared" si="1"/>
        <v>100</v>
      </c>
      <c r="H34" s="7" t="s">
        <v>190</v>
      </c>
      <c r="I34" s="7" t="s">
        <v>943</v>
      </c>
      <c r="J34" s="20" t="s">
        <v>176</v>
      </c>
      <c r="K34" s="34"/>
      <c r="L34" s="34"/>
      <c r="M34" s="34"/>
    </row>
    <row r="35" spans="1:13">
      <c r="A35" s="6">
        <v>46079</v>
      </c>
      <c r="B35" s="7" t="s">
        <v>673</v>
      </c>
      <c r="C35" s="14" t="s">
        <v>482</v>
      </c>
      <c r="D35" s="14" t="s">
        <v>947</v>
      </c>
      <c r="E35" s="7">
        <v>132</v>
      </c>
      <c r="F35" s="7">
        <v>1</v>
      </c>
      <c r="G35" s="7">
        <f t="shared" si="1"/>
        <v>132</v>
      </c>
      <c r="H35" s="7" t="s">
        <v>142</v>
      </c>
      <c r="I35" s="7" t="s">
        <v>484</v>
      </c>
      <c r="J35" s="20" t="s">
        <v>176</v>
      </c>
      <c r="K35" s="34"/>
      <c r="L35" s="34"/>
      <c r="M35" s="34"/>
    </row>
    <row r="36" spans="1:13">
      <c r="A36" s="6">
        <v>46079</v>
      </c>
      <c r="B36" s="7" t="s">
        <v>673</v>
      </c>
      <c r="C36" s="14" t="s">
        <v>912</v>
      </c>
      <c r="D36" s="14" t="s">
        <v>942</v>
      </c>
      <c r="E36" s="7">
        <v>550</v>
      </c>
      <c r="F36" s="7">
        <v>1</v>
      </c>
      <c r="G36" s="7">
        <f t="shared" si="1"/>
        <v>550</v>
      </c>
      <c r="H36" s="7" t="s">
        <v>190</v>
      </c>
      <c r="I36" s="7" t="s">
        <v>943</v>
      </c>
      <c r="J36" s="20" t="s">
        <v>176</v>
      </c>
      <c r="K36" s="34"/>
      <c r="L36" s="34"/>
      <c r="M36" s="34"/>
    </row>
    <row r="37" spans="1:13">
      <c r="A37" s="6">
        <v>46079</v>
      </c>
      <c r="B37" s="7" t="s">
        <v>673</v>
      </c>
      <c r="C37" s="14" t="s">
        <v>946</v>
      </c>
      <c r="D37" s="14" t="s">
        <v>916</v>
      </c>
      <c r="E37" s="7">
        <v>550</v>
      </c>
      <c r="F37" s="7">
        <v>1</v>
      </c>
      <c r="G37" s="7">
        <f t="shared" si="1"/>
        <v>550</v>
      </c>
      <c r="H37" s="7" t="s">
        <v>190</v>
      </c>
      <c r="I37" s="7" t="s">
        <v>943</v>
      </c>
      <c r="J37" s="20" t="s">
        <v>176</v>
      </c>
      <c r="K37" s="34"/>
      <c r="L37" s="34"/>
      <c r="M37" s="34"/>
    </row>
    <row r="38" spans="1:13">
      <c r="A38" s="6">
        <v>46079</v>
      </c>
      <c r="B38" s="7" t="s">
        <v>673</v>
      </c>
      <c r="C38" s="14" t="s">
        <v>915</v>
      </c>
      <c r="D38" s="14" t="s">
        <v>941</v>
      </c>
      <c r="E38" s="7">
        <v>550</v>
      </c>
      <c r="F38" s="7">
        <v>1</v>
      </c>
      <c r="G38" s="7">
        <f t="shared" si="1"/>
        <v>550</v>
      </c>
      <c r="H38" s="7" t="s">
        <v>190</v>
      </c>
      <c r="I38" s="7" t="s">
        <v>943</v>
      </c>
      <c r="J38" s="20" t="s">
        <v>176</v>
      </c>
      <c r="K38" s="34"/>
      <c r="L38" s="34"/>
      <c r="M38" s="34"/>
    </row>
    <row r="39" spans="1:13">
      <c r="A39" s="6">
        <v>46079</v>
      </c>
      <c r="B39" s="7" t="s">
        <v>673</v>
      </c>
      <c r="C39" s="14" t="s">
        <v>948</v>
      </c>
      <c r="D39" s="14" t="s">
        <v>949</v>
      </c>
      <c r="E39" s="7">
        <v>550</v>
      </c>
      <c r="F39" s="7">
        <v>1</v>
      </c>
      <c r="G39" s="7">
        <f t="shared" si="1"/>
        <v>550</v>
      </c>
      <c r="H39" s="7" t="s">
        <v>190</v>
      </c>
      <c r="I39" s="7" t="s">
        <v>950</v>
      </c>
      <c r="J39" s="20" t="s">
        <v>176</v>
      </c>
      <c r="K39" s="34"/>
      <c r="L39" s="34"/>
      <c r="M39" s="34"/>
    </row>
    <row r="40" spans="1:13">
      <c r="A40" s="6">
        <v>46079</v>
      </c>
      <c r="B40" s="7" t="s">
        <v>673</v>
      </c>
      <c r="C40" s="14" t="s">
        <v>951</v>
      </c>
      <c r="D40" s="14" t="s">
        <v>952</v>
      </c>
      <c r="E40" s="7">
        <v>2000</v>
      </c>
      <c r="F40" s="7">
        <v>1</v>
      </c>
      <c r="G40" s="7">
        <f t="shared" si="1"/>
        <v>2000</v>
      </c>
      <c r="H40" s="7" t="s">
        <v>190</v>
      </c>
      <c r="I40" s="7" t="s">
        <v>914</v>
      </c>
      <c r="J40" s="20" t="s">
        <v>176</v>
      </c>
      <c r="K40" s="34"/>
      <c r="L40" s="34"/>
      <c r="M40" s="34"/>
    </row>
    <row r="41" spans="1:13">
      <c r="A41" s="6">
        <v>46119</v>
      </c>
      <c r="B41" s="7" t="s">
        <v>429</v>
      </c>
      <c r="C41" s="14" t="s">
        <v>482</v>
      </c>
      <c r="D41" s="14" t="s">
        <v>940</v>
      </c>
      <c r="E41" s="7">
        <v>16</v>
      </c>
      <c r="F41" s="7">
        <v>1</v>
      </c>
      <c r="G41" s="7">
        <f t="shared" si="1"/>
        <v>16</v>
      </c>
      <c r="H41" s="7" t="s">
        <v>897</v>
      </c>
      <c r="I41" s="7" t="s">
        <v>922</v>
      </c>
      <c r="J41" s="20" t="s">
        <v>176</v>
      </c>
      <c r="K41" s="34"/>
      <c r="L41" s="34"/>
      <c r="M41" s="34"/>
    </row>
    <row r="42" spans="1:13">
      <c r="A42" s="6">
        <v>45967</v>
      </c>
      <c r="B42" s="7" t="s">
        <v>673</v>
      </c>
      <c r="C42" s="7" t="s">
        <v>953</v>
      </c>
      <c r="D42" s="7">
        <v>6063</v>
      </c>
      <c r="E42" s="7">
        <v>30</v>
      </c>
      <c r="F42" s="7">
        <v>10</v>
      </c>
      <c r="G42" s="7">
        <f t="shared" si="1"/>
        <v>300</v>
      </c>
      <c r="H42" s="7" t="s">
        <v>142</v>
      </c>
      <c r="I42" s="7" t="s">
        <v>954</v>
      </c>
      <c r="J42" s="21" t="s">
        <v>176</v>
      </c>
      <c r="K42" s="35">
        <v>46371</v>
      </c>
      <c r="L42" s="8" t="s">
        <v>955</v>
      </c>
      <c r="M42" s="8" t="s">
        <v>183</v>
      </c>
    </row>
    <row r="43" spans="1:13">
      <c r="A43" s="6">
        <v>45967</v>
      </c>
      <c r="B43" s="7" t="s">
        <v>673</v>
      </c>
      <c r="C43" s="7" t="s">
        <v>956</v>
      </c>
      <c r="D43" s="7">
        <v>6063</v>
      </c>
      <c r="E43" s="7">
        <v>12</v>
      </c>
      <c r="F43" s="7">
        <v>10</v>
      </c>
      <c r="G43" s="7">
        <f t="shared" si="1"/>
        <v>120</v>
      </c>
      <c r="H43" s="7" t="s">
        <v>142</v>
      </c>
      <c r="I43" s="7" t="s">
        <v>954</v>
      </c>
      <c r="J43" s="23"/>
      <c r="K43" s="12"/>
      <c r="L43" s="12"/>
      <c r="M43" s="12"/>
    </row>
    <row r="44" spans="1:13">
      <c r="A44" s="6">
        <v>45967</v>
      </c>
      <c r="B44" s="7" t="s">
        <v>429</v>
      </c>
      <c r="C44" s="7" t="s">
        <v>957</v>
      </c>
      <c r="D44" s="7">
        <v>6063</v>
      </c>
      <c r="E44" s="7">
        <v>6</v>
      </c>
      <c r="F44" s="7">
        <v>10</v>
      </c>
      <c r="G44" s="7">
        <f t="shared" si="1"/>
        <v>60</v>
      </c>
      <c r="H44" s="7" t="s">
        <v>897</v>
      </c>
      <c r="I44" s="7" t="s">
        <v>958</v>
      </c>
      <c r="J44" s="20" t="s">
        <v>176</v>
      </c>
      <c r="K44" s="33">
        <v>46092</v>
      </c>
      <c r="L44" s="34" t="s">
        <v>959</v>
      </c>
      <c r="M44" s="34" t="s">
        <v>183</v>
      </c>
    </row>
    <row r="45" spans="1:13">
      <c r="A45" s="6">
        <v>45996</v>
      </c>
      <c r="B45" s="7" t="s">
        <v>429</v>
      </c>
      <c r="C45" s="14" t="s">
        <v>960</v>
      </c>
      <c r="D45" s="14" t="s">
        <v>961</v>
      </c>
      <c r="E45" s="7">
        <v>70</v>
      </c>
      <c r="F45" s="7">
        <v>1</v>
      </c>
      <c r="G45" s="7">
        <f t="shared" si="1"/>
        <v>70</v>
      </c>
      <c r="H45" s="7" t="s">
        <v>897</v>
      </c>
      <c r="I45" s="7" t="s">
        <v>962</v>
      </c>
      <c r="J45" s="20" t="s">
        <v>176</v>
      </c>
      <c r="K45" s="34"/>
      <c r="L45" s="34"/>
      <c r="M45" s="34"/>
    </row>
    <row r="46" spans="1:13">
      <c r="A46" s="6">
        <v>46007</v>
      </c>
      <c r="B46" s="7" t="s">
        <v>673</v>
      </c>
      <c r="C46" s="7" t="s">
        <v>963</v>
      </c>
      <c r="D46" s="7">
        <v>6061</v>
      </c>
      <c r="E46" s="7">
        <v>30</v>
      </c>
      <c r="F46" s="7">
        <v>1</v>
      </c>
      <c r="G46" s="7">
        <f t="shared" si="1"/>
        <v>30</v>
      </c>
      <c r="H46" s="7" t="s">
        <v>142</v>
      </c>
      <c r="I46" s="7" t="s">
        <v>958</v>
      </c>
      <c r="J46" s="20" t="s">
        <v>176</v>
      </c>
      <c r="K46" s="33">
        <v>46372</v>
      </c>
      <c r="L46" s="34" t="s">
        <v>908</v>
      </c>
      <c r="M46" s="34" t="s">
        <v>183</v>
      </c>
    </row>
    <row r="47" spans="1:13">
      <c r="A47" s="6">
        <v>46021</v>
      </c>
      <c r="B47" s="7" t="s">
        <v>673</v>
      </c>
      <c r="C47" s="14" t="s">
        <v>964</v>
      </c>
      <c r="D47" s="14">
        <v>6061</v>
      </c>
      <c r="E47" s="7">
        <v>12</v>
      </c>
      <c r="F47" s="7">
        <v>1</v>
      </c>
      <c r="G47" s="7">
        <f t="shared" si="1"/>
        <v>12</v>
      </c>
      <c r="H47" s="7" t="s">
        <v>142</v>
      </c>
      <c r="I47" s="7" t="s">
        <v>958</v>
      </c>
      <c r="J47" s="20" t="s">
        <v>176</v>
      </c>
      <c r="K47" s="34"/>
      <c r="L47" s="34"/>
      <c r="M47" s="34"/>
    </row>
    <row r="48" spans="1:13">
      <c r="A48" s="6">
        <v>46027</v>
      </c>
      <c r="B48" s="7" t="s">
        <v>673</v>
      </c>
      <c r="C48" s="14" t="s">
        <v>953</v>
      </c>
      <c r="D48" s="14">
        <v>6063</v>
      </c>
      <c r="E48" s="7">
        <v>38</v>
      </c>
      <c r="F48" s="7">
        <v>1</v>
      </c>
      <c r="G48" s="7">
        <f t="shared" si="1"/>
        <v>38</v>
      </c>
      <c r="H48" s="7" t="s">
        <v>142</v>
      </c>
      <c r="I48" s="7" t="s">
        <v>958</v>
      </c>
      <c r="J48" s="20" t="s">
        <v>176</v>
      </c>
      <c r="K48" s="34"/>
      <c r="L48" s="34"/>
      <c r="M48" s="34"/>
    </row>
    <row r="49" spans="1:13">
      <c r="A49" s="6">
        <v>46027</v>
      </c>
      <c r="B49" s="7" t="s">
        <v>673</v>
      </c>
      <c r="C49" s="14" t="s">
        <v>956</v>
      </c>
      <c r="D49" s="14">
        <v>6063</v>
      </c>
      <c r="E49" s="7">
        <v>16</v>
      </c>
      <c r="F49" s="7">
        <v>1</v>
      </c>
      <c r="G49" s="7">
        <f t="shared" si="1"/>
        <v>16</v>
      </c>
      <c r="H49" s="7" t="s">
        <v>142</v>
      </c>
      <c r="I49" s="7" t="s">
        <v>958</v>
      </c>
      <c r="J49" s="20" t="s">
        <v>176</v>
      </c>
      <c r="K49" s="34"/>
      <c r="L49" s="34"/>
      <c r="M49" s="34"/>
    </row>
    <row r="50" spans="1:13">
      <c r="A50" s="6">
        <v>46079</v>
      </c>
      <c r="B50" s="7" t="s">
        <v>673</v>
      </c>
      <c r="C50" s="14" t="s">
        <v>964</v>
      </c>
      <c r="D50" s="14">
        <v>6061</v>
      </c>
      <c r="E50" s="7">
        <v>132</v>
      </c>
      <c r="F50" s="7">
        <v>1</v>
      </c>
      <c r="G50" s="7">
        <f t="shared" si="1"/>
        <v>132</v>
      </c>
      <c r="H50" s="7" t="s">
        <v>142</v>
      </c>
      <c r="I50" s="7" t="s">
        <v>958</v>
      </c>
      <c r="J50" s="20" t="s">
        <v>176</v>
      </c>
      <c r="K50" s="34"/>
      <c r="L50" s="34"/>
      <c r="M50" s="34"/>
    </row>
    <row r="51" spans="1:13">
      <c r="A51" s="6">
        <v>46079</v>
      </c>
      <c r="B51" s="7" t="s">
        <v>673</v>
      </c>
      <c r="C51" s="14" t="s">
        <v>965</v>
      </c>
      <c r="D51" s="14">
        <v>6061</v>
      </c>
      <c r="E51" s="7">
        <v>60</v>
      </c>
      <c r="F51" s="7">
        <v>1</v>
      </c>
      <c r="G51" s="7">
        <f t="shared" si="1"/>
        <v>60</v>
      </c>
      <c r="H51" s="7" t="s">
        <v>897</v>
      </c>
      <c r="I51" s="7" t="s">
        <v>958</v>
      </c>
      <c r="J51" s="20" t="s">
        <v>176</v>
      </c>
      <c r="K51" s="34"/>
      <c r="L51" s="34"/>
      <c r="M51" s="34"/>
    </row>
    <row r="52" spans="1:13">
      <c r="A52" s="6">
        <v>45967</v>
      </c>
      <c r="B52" s="7" t="s">
        <v>429</v>
      </c>
      <c r="C52" s="7" t="s">
        <v>88</v>
      </c>
      <c r="D52" s="7" t="s">
        <v>920</v>
      </c>
      <c r="E52" s="7">
        <v>1</v>
      </c>
      <c r="F52" s="7">
        <v>1</v>
      </c>
      <c r="G52" s="7">
        <f t="shared" ref="G52:G60" si="2">F52*E52</f>
        <v>1</v>
      </c>
      <c r="H52" s="7" t="s">
        <v>142</v>
      </c>
      <c r="I52" s="7" t="s">
        <v>420</v>
      </c>
      <c r="J52" s="21" t="s">
        <v>176</v>
      </c>
      <c r="K52" s="24">
        <v>46092</v>
      </c>
      <c r="L52" s="16" t="s">
        <v>303</v>
      </c>
      <c r="M52" s="16" t="s">
        <v>183</v>
      </c>
    </row>
    <row r="53" spans="1:13">
      <c r="A53" s="6">
        <v>45967</v>
      </c>
      <c r="B53" s="7" t="s">
        <v>429</v>
      </c>
      <c r="C53" s="7" t="s">
        <v>482</v>
      </c>
      <c r="D53" s="7" t="s">
        <v>921</v>
      </c>
      <c r="E53" s="7">
        <v>6</v>
      </c>
      <c r="F53" s="7">
        <v>1</v>
      </c>
      <c r="G53" s="7">
        <f t="shared" si="2"/>
        <v>6</v>
      </c>
      <c r="H53" s="7" t="s">
        <v>897</v>
      </c>
      <c r="I53" s="7" t="s">
        <v>922</v>
      </c>
      <c r="J53" s="22"/>
      <c r="K53" s="11"/>
      <c r="L53" s="11"/>
      <c r="M53" s="11"/>
    </row>
    <row r="54" spans="1:13">
      <c r="A54" s="6">
        <v>45967</v>
      </c>
      <c r="B54" s="7" t="s">
        <v>429</v>
      </c>
      <c r="C54" s="7" t="s">
        <v>923</v>
      </c>
      <c r="D54" s="7" t="s">
        <v>924</v>
      </c>
      <c r="E54" s="7">
        <v>6</v>
      </c>
      <c r="F54" s="7">
        <v>1</v>
      </c>
      <c r="G54" s="7">
        <f t="shared" si="2"/>
        <v>6</v>
      </c>
      <c r="H54" s="7" t="s">
        <v>142</v>
      </c>
      <c r="I54" s="7" t="s">
        <v>925</v>
      </c>
      <c r="J54" s="22"/>
      <c r="K54" s="11"/>
      <c r="L54" s="11"/>
      <c r="M54" s="11"/>
    </row>
    <row r="55" spans="1:13">
      <c r="A55" s="6">
        <v>45967</v>
      </c>
      <c r="B55" s="7" t="s">
        <v>429</v>
      </c>
      <c r="C55" s="7" t="s">
        <v>912</v>
      </c>
      <c r="D55" s="7" t="s">
        <v>926</v>
      </c>
      <c r="E55" s="7">
        <v>36</v>
      </c>
      <c r="F55" s="7">
        <v>1</v>
      </c>
      <c r="G55" s="7">
        <f t="shared" si="2"/>
        <v>36</v>
      </c>
      <c r="H55" s="7" t="s">
        <v>190</v>
      </c>
      <c r="I55" s="7" t="s">
        <v>914</v>
      </c>
      <c r="J55" s="22"/>
      <c r="K55" s="11"/>
      <c r="L55" s="11"/>
      <c r="M55" s="11"/>
    </row>
    <row r="56" spans="1:13">
      <c r="A56" s="6">
        <v>45967</v>
      </c>
      <c r="B56" s="7" t="s">
        <v>429</v>
      </c>
      <c r="C56" s="7" t="s">
        <v>912</v>
      </c>
      <c r="D56" s="7" t="s">
        <v>927</v>
      </c>
      <c r="E56" s="7">
        <v>36</v>
      </c>
      <c r="F56" s="7">
        <v>1</v>
      </c>
      <c r="G56" s="7">
        <f t="shared" si="2"/>
        <v>36</v>
      </c>
      <c r="H56" s="7" t="s">
        <v>190</v>
      </c>
      <c r="I56" s="7" t="s">
        <v>914</v>
      </c>
      <c r="J56" s="22"/>
      <c r="K56" s="11"/>
      <c r="L56" s="11"/>
      <c r="M56" s="11"/>
    </row>
    <row r="57" spans="1:13">
      <c r="A57" s="6">
        <v>45967</v>
      </c>
      <c r="B57" s="7" t="s">
        <v>429</v>
      </c>
      <c r="C57" s="7" t="s">
        <v>912</v>
      </c>
      <c r="D57" s="7" t="s">
        <v>928</v>
      </c>
      <c r="E57" s="7">
        <v>24</v>
      </c>
      <c r="F57" s="7">
        <v>1</v>
      </c>
      <c r="G57" s="7">
        <f t="shared" si="2"/>
        <v>24</v>
      </c>
      <c r="H57" s="7" t="s">
        <v>190</v>
      </c>
      <c r="I57" s="7" t="s">
        <v>914</v>
      </c>
      <c r="J57" s="22"/>
      <c r="K57" s="11"/>
      <c r="L57" s="11"/>
      <c r="M57" s="11"/>
    </row>
    <row r="58" spans="1:13">
      <c r="A58" s="6">
        <v>45967</v>
      </c>
      <c r="B58" s="7" t="s">
        <v>429</v>
      </c>
      <c r="C58" s="7" t="s">
        <v>929</v>
      </c>
      <c r="D58" s="7" t="s">
        <v>930</v>
      </c>
      <c r="E58" s="7">
        <v>36</v>
      </c>
      <c r="F58" s="7">
        <v>1</v>
      </c>
      <c r="G58" s="7">
        <f t="shared" si="2"/>
        <v>36</v>
      </c>
      <c r="H58" s="7" t="s">
        <v>190</v>
      </c>
      <c r="I58" s="7" t="s">
        <v>931</v>
      </c>
      <c r="J58" s="22"/>
      <c r="K58" s="11"/>
      <c r="L58" s="11"/>
      <c r="M58" s="11"/>
    </row>
    <row r="59" spans="1:13">
      <c r="A59" s="6">
        <v>45967</v>
      </c>
      <c r="B59" s="7" t="s">
        <v>429</v>
      </c>
      <c r="C59" s="7" t="s">
        <v>932</v>
      </c>
      <c r="D59" s="7" t="s">
        <v>933</v>
      </c>
      <c r="E59" s="7">
        <v>6</v>
      </c>
      <c r="F59" s="7">
        <v>1</v>
      </c>
      <c r="G59" s="7">
        <f t="shared" si="2"/>
        <v>6</v>
      </c>
      <c r="H59" s="7" t="s">
        <v>190</v>
      </c>
      <c r="I59" s="7" t="s">
        <v>934</v>
      </c>
      <c r="J59" s="23"/>
      <c r="K59" s="13"/>
      <c r="L59" s="13"/>
      <c r="M59" s="13"/>
    </row>
    <row r="60" spans="1:13">
      <c r="A60" s="6">
        <v>45967</v>
      </c>
      <c r="B60" s="7" t="s">
        <v>429</v>
      </c>
      <c r="C60" s="7" t="s">
        <v>957</v>
      </c>
      <c r="D60" s="7">
        <v>6063</v>
      </c>
      <c r="E60" s="7">
        <v>6</v>
      </c>
      <c r="F60" s="7">
        <v>1</v>
      </c>
      <c r="G60" s="7">
        <f t="shared" si="2"/>
        <v>6</v>
      </c>
      <c r="H60" s="7" t="s">
        <v>897</v>
      </c>
      <c r="I60" s="7" t="s">
        <v>958</v>
      </c>
      <c r="J60" s="20" t="s">
        <v>176</v>
      </c>
      <c r="K60" s="36">
        <v>46366</v>
      </c>
      <c r="L60" s="27" t="s">
        <v>303</v>
      </c>
      <c r="M60" s="27" t="s">
        <v>183</v>
      </c>
    </row>
    <row r="61" spans="1:13">
      <c r="A61" s="37"/>
    </row>
  </sheetData>
  <mergeCells count="21">
    <mergeCell ref="J2:J9"/>
    <mergeCell ref="J16:J23"/>
    <mergeCell ref="J24:J27"/>
    <mergeCell ref="J42:J43"/>
    <mergeCell ref="J52:J59"/>
    <mergeCell ref="K2:K9"/>
    <mergeCell ref="K16:K23"/>
    <mergeCell ref="K24:K27"/>
    <mergeCell ref="K42:K43"/>
    <mergeCell ref="K52:K59"/>
    <mergeCell ref="L2:L9"/>
    <mergeCell ref="L16:L23"/>
    <mergeCell ref="L24:L27"/>
    <mergeCell ref="L42:L43"/>
    <mergeCell ref="L52:L59"/>
    <mergeCell ref="M2:M9"/>
    <mergeCell ref="M10:M14"/>
    <mergeCell ref="M16:M23"/>
    <mergeCell ref="M24:M27"/>
    <mergeCell ref="M42:M43"/>
    <mergeCell ref="M52:M59"/>
  </mergeCells>
  <dataValidations count="1">
    <dataValidation type="list" allowBlank="1" showInputMessage="1" showErrorMessage="1" sqref="J2:J60">
      <formula1>"已到货,未到货"</formula1>
    </dataValidation>
  </dataValidation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"/>
  <sheetViews>
    <sheetView topLeftCell="A6" workbookViewId="0">
      <selection activeCell="L27" sqref="L27"/>
    </sheetView>
  </sheetViews>
  <sheetFormatPr defaultColWidth="8.66666666666667" defaultRowHeight="14"/>
  <cols>
    <col min="1" max="1" width="12.4166666666667" customWidth="1"/>
    <col min="3" max="3" width="23.25" customWidth="1"/>
    <col min="4" max="4" width="22.5833333333333" customWidth="1"/>
    <col min="6" max="6" width="11.25" customWidth="1"/>
    <col min="11" max="11" width="9.08333333333333"/>
    <col min="12" max="12" width="11.0833333333333" customWidth="1"/>
  </cols>
  <sheetData>
    <row r="1" s="1" customFormat="1" ht="30.65" customHeight="1" spans="1:14">
      <c r="A1" s="2" t="s">
        <v>128</v>
      </c>
      <c r="B1" s="3" t="s">
        <v>129</v>
      </c>
      <c r="C1" s="4" t="s">
        <v>130</v>
      </c>
      <c r="D1" s="2" t="s">
        <v>131</v>
      </c>
      <c r="E1" s="2" t="s">
        <v>4</v>
      </c>
      <c r="F1" s="2" t="s">
        <v>132</v>
      </c>
      <c r="G1" s="3" t="s">
        <v>133</v>
      </c>
      <c r="H1" s="3" t="s">
        <v>134</v>
      </c>
      <c r="I1" s="3" t="s">
        <v>2</v>
      </c>
      <c r="J1" s="3" t="s">
        <v>135</v>
      </c>
      <c r="K1" s="2" t="s">
        <v>136</v>
      </c>
      <c r="L1" s="2" t="s">
        <v>137</v>
      </c>
      <c r="M1" s="3" t="s">
        <v>138</v>
      </c>
      <c r="N1" s="5"/>
    </row>
    <row r="2" spans="1:14">
      <c r="A2" s="6">
        <v>45966</v>
      </c>
      <c r="B2" s="7" t="s">
        <v>966</v>
      </c>
      <c r="C2" s="7" t="s">
        <v>967</v>
      </c>
      <c r="D2" s="7" t="s">
        <v>968</v>
      </c>
      <c r="E2" s="7">
        <v>2</v>
      </c>
      <c r="F2" s="7">
        <v>10</v>
      </c>
      <c r="G2" s="7">
        <f>F2*E2</f>
        <v>20</v>
      </c>
      <c r="H2" s="7" t="s">
        <v>185</v>
      </c>
      <c r="I2" s="7" t="s">
        <v>227</v>
      </c>
      <c r="J2" s="21" t="s">
        <v>176</v>
      </c>
      <c r="K2" s="24">
        <v>46371</v>
      </c>
      <c r="L2" s="9" t="s">
        <v>271</v>
      </c>
      <c r="M2" s="16"/>
    </row>
    <row r="3" spans="1:14">
      <c r="A3" s="6">
        <v>45966</v>
      </c>
      <c r="B3" s="7" t="s">
        <v>966</v>
      </c>
      <c r="C3" s="7" t="s">
        <v>969</v>
      </c>
      <c r="D3" s="7" t="s">
        <v>970</v>
      </c>
      <c r="E3" s="7">
        <v>2</v>
      </c>
      <c r="F3" s="7">
        <v>10</v>
      </c>
      <c r="G3" s="7">
        <f t="shared" ref="G3:G11" si="0">F3*E3</f>
        <v>20</v>
      </c>
      <c r="H3" s="7" t="s">
        <v>185</v>
      </c>
      <c r="I3" s="7" t="s">
        <v>971</v>
      </c>
      <c r="J3" s="22"/>
      <c r="K3" s="11"/>
      <c r="L3" s="25"/>
      <c r="M3" s="11"/>
    </row>
    <row r="4" spans="1:14">
      <c r="A4" s="6">
        <v>45966</v>
      </c>
      <c r="B4" s="7" t="s">
        <v>966</v>
      </c>
      <c r="C4" s="7" t="s">
        <v>972</v>
      </c>
      <c r="D4" s="7" t="s">
        <v>973</v>
      </c>
      <c r="E4" s="7">
        <v>2</v>
      </c>
      <c r="F4" s="7">
        <v>10</v>
      </c>
      <c r="G4" s="7">
        <f t="shared" si="0"/>
        <v>20</v>
      </c>
      <c r="H4" s="7" t="s">
        <v>185</v>
      </c>
      <c r="I4" s="7" t="s">
        <v>971</v>
      </c>
      <c r="J4" s="22"/>
      <c r="K4" s="11"/>
      <c r="L4" s="26"/>
      <c r="M4" s="11"/>
    </row>
    <row r="5" spans="1:14">
      <c r="A5" s="6">
        <v>45966</v>
      </c>
      <c r="B5" s="7" t="s">
        <v>966</v>
      </c>
      <c r="C5" s="7" t="s">
        <v>974</v>
      </c>
      <c r="D5" s="7" t="s">
        <v>975</v>
      </c>
      <c r="E5" s="7">
        <v>25</v>
      </c>
      <c r="F5" s="7">
        <v>10</v>
      </c>
      <c r="G5" s="7">
        <f t="shared" si="0"/>
        <v>250</v>
      </c>
      <c r="H5" s="7" t="s">
        <v>185</v>
      </c>
      <c r="I5" s="7" t="s">
        <v>227</v>
      </c>
      <c r="J5" s="22"/>
      <c r="K5" s="11"/>
      <c r="L5" s="27" t="s">
        <v>303</v>
      </c>
      <c r="M5" s="11"/>
    </row>
    <row r="6" spans="1:14">
      <c r="A6" s="6">
        <v>45966</v>
      </c>
      <c r="B6" s="7" t="s">
        <v>966</v>
      </c>
      <c r="C6" s="7" t="s">
        <v>976</v>
      </c>
      <c r="D6" s="7" t="s">
        <v>977</v>
      </c>
      <c r="E6" s="7">
        <v>1</v>
      </c>
      <c r="F6" s="7">
        <v>10</v>
      </c>
      <c r="G6" s="7">
        <f t="shared" si="0"/>
        <v>10</v>
      </c>
      <c r="H6" s="7" t="s">
        <v>185</v>
      </c>
      <c r="I6" s="7" t="s">
        <v>227</v>
      </c>
      <c r="J6" s="22"/>
      <c r="K6" s="11"/>
      <c r="L6" s="16" t="s">
        <v>271</v>
      </c>
      <c r="M6" s="11"/>
    </row>
    <row r="7" spans="1:14">
      <c r="A7" s="6">
        <v>45966</v>
      </c>
      <c r="B7" s="7" t="s">
        <v>966</v>
      </c>
      <c r="C7" s="7" t="s">
        <v>599</v>
      </c>
      <c r="D7" s="7" t="s">
        <v>978</v>
      </c>
      <c r="E7" s="7">
        <v>1</v>
      </c>
      <c r="F7" s="7">
        <v>10</v>
      </c>
      <c r="G7" s="7">
        <f t="shared" si="0"/>
        <v>10</v>
      </c>
      <c r="H7" s="7" t="s">
        <v>185</v>
      </c>
      <c r="I7" s="7" t="s">
        <v>227</v>
      </c>
      <c r="J7" s="22"/>
      <c r="K7" s="11"/>
      <c r="L7" s="11"/>
      <c r="M7" s="11"/>
    </row>
    <row r="8" spans="1:14">
      <c r="A8" s="6">
        <v>45966</v>
      </c>
      <c r="B8" s="7" t="s">
        <v>966</v>
      </c>
      <c r="C8" s="7" t="s">
        <v>482</v>
      </c>
      <c r="D8" s="7" t="s">
        <v>979</v>
      </c>
      <c r="E8" s="7">
        <v>4</v>
      </c>
      <c r="F8" s="7">
        <v>10</v>
      </c>
      <c r="G8" s="7">
        <f t="shared" si="0"/>
        <v>40</v>
      </c>
      <c r="H8" s="7" t="s">
        <v>185</v>
      </c>
      <c r="I8" s="7" t="s">
        <v>227</v>
      </c>
      <c r="J8" s="22"/>
      <c r="K8" s="11"/>
      <c r="L8" s="11"/>
      <c r="M8" s="11"/>
    </row>
    <row r="9" spans="1:14">
      <c r="A9" s="6">
        <v>45966</v>
      </c>
      <c r="B9" s="7" t="s">
        <v>966</v>
      </c>
      <c r="C9" s="7" t="s">
        <v>5</v>
      </c>
      <c r="D9" s="7" t="s">
        <v>980</v>
      </c>
      <c r="E9" s="7">
        <v>1</v>
      </c>
      <c r="F9" s="7">
        <v>10</v>
      </c>
      <c r="G9" s="7">
        <f t="shared" si="0"/>
        <v>10</v>
      </c>
      <c r="H9" s="7" t="s">
        <v>151</v>
      </c>
      <c r="I9" s="7" t="s">
        <v>6</v>
      </c>
      <c r="J9" s="22"/>
      <c r="K9" s="11"/>
      <c r="L9" s="11"/>
      <c r="M9" s="11"/>
    </row>
    <row r="10" spans="1:14">
      <c r="A10" s="6">
        <v>45966</v>
      </c>
      <c r="B10" s="7" t="s">
        <v>966</v>
      </c>
      <c r="C10" s="7" t="s">
        <v>981</v>
      </c>
      <c r="D10" s="7" t="s">
        <v>982</v>
      </c>
      <c r="E10" s="7">
        <v>4</v>
      </c>
      <c r="F10" s="7">
        <v>10</v>
      </c>
      <c r="G10" s="7">
        <f t="shared" si="0"/>
        <v>40</v>
      </c>
      <c r="H10" s="7" t="s">
        <v>142</v>
      </c>
      <c r="I10" s="7" t="s">
        <v>227</v>
      </c>
      <c r="J10" s="22"/>
      <c r="K10" s="11"/>
      <c r="L10" s="11"/>
      <c r="M10" s="11"/>
    </row>
    <row r="11" spans="1:14">
      <c r="A11" s="6">
        <v>45966</v>
      </c>
      <c r="B11" s="7" t="s">
        <v>966</v>
      </c>
      <c r="C11" s="7" t="s">
        <v>983</v>
      </c>
      <c r="D11" s="7" t="s">
        <v>984</v>
      </c>
      <c r="E11" s="7">
        <v>4</v>
      </c>
      <c r="F11" s="7">
        <v>10</v>
      </c>
      <c r="G11" s="7">
        <f t="shared" si="0"/>
        <v>40</v>
      </c>
      <c r="H11" s="7" t="s">
        <v>185</v>
      </c>
      <c r="I11" s="7" t="s">
        <v>227</v>
      </c>
      <c r="J11" s="23"/>
      <c r="K11" s="13"/>
      <c r="L11" s="13"/>
      <c r="M11" s="13"/>
    </row>
    <row r="12" spans="1:14">
      <c r="A12" s="6">
        <v>45972</v>
      </c>
      <c r="B12" s="7" t="s">
        <v>966</v>
      </c>
      <c r="C12" s="7" t="s">
        <v>985</v>
      </c>
      <c r="D12" s="7" t="s">
        <v>986</v>
      </c>
      <c r="E12" s="7">
        <v>5</v>
      </c>
      <c r="F12" s="7">
        <v>10</v>
      </c>
      <c r="G12" s="7">
        <f t="shared" ref="G12:G18" si="1">F12*E12</f>
        <v>50</v>
      </c>
      <c r="H12" s="7" t="s">
        <v>185</v>
      </c>
      <c r="I12" s="7" t="s">
        <v>227</v>
      </c>
      <c r="J12" s="21" t="s">
        <v>176</v>
      </c>
      <c r="K12" s="24">
        <v>46371</v>
      </c>
      <c r="L12" s="16" t="s">
        <v>303</v>
      </c>
      <c r="M12" s="16"/>
    </row>
    <row r="13" spans="1:14">
      <c r="A13" s="6">
        <v>45972</v>
      </c>
      <c r="B13" s="7" t="s">
        <v>966</v>
      </c>
      <c r="C13" s="7" t="s">
        <v>987</v>
      </c>
      <c r="D13" s="7" t="s">
        <v>988</v>
      </c>
      <c r="E13" s="7">
        <v>15</v>
      </c>
      <c r="F13" s="7">
        <v>10</v>
      </c>
      <c r="G13" s="7">
        <f t="shared" si="1"/>
        <v>150</v>
      </c>
      <c r="H13" s="7" t="s">
        <v>185</v>
      </c>
      <c r="I13" s="7" t="s">
        <v>227</v>
      </c>
      <c r="J13" s="22"/>
      <c r="K13" s="11"/>
      <c r="L13" s="11"/>
      <c r="M13" s="11"/>
    </row>
    <row r="14" spans="1:14">
      <c r="A14" s="6">
        <v>45972</v>
      </c>
      <c r="B14" s="7" t="s">
        <v>966</v>
      </c>
      <c r="C14" s="7" t="s">
        <v>987</v>
      </c>
      <c r="D14" s="7" t="s">
        <v>989</v>
      </c>
      <c r="E14" s="7">
        <v>15</v>
      </c>
      <c r="F14" s="7">
        <v>10</v>
      </c>
      <c r="G14" s="7">
        <f t="shared" si="1"/>
        <v>150</v>
      </c>
      <c r="H14" s="7" t="s">
        <v>185</v>
      </c>
      <c r="I14" s="7" t="s">
        <v>227</v>
      </c>
      <c r="J14" s="22"/>
      <c r="K14" s="11"/>
      <c r="L14" s="11"/>
      <c r="M14" s="11"/>
    </row>
    <row r="15" spans="1:14">
      <c r="A15" s="6">
        <v>45972</v>
      </c>
      <c r="B15" s="7" t="s">
        <v>966</v>
      </c>
      <c r="C15" s="7" t="s">
        <v>987</v>
      </c>
      <c r="D15" s="7" t="s">
        <v>990</v>
      </c>
      <c r="E15" s="7">
        <v>15</v>
      </c>
      <c r="F15" s="7">
        <v>10</v>
      </c>
      <c r="G15" s="7">
        <f t="shared" si="1"/>
        <v>150</v>
      </c>
      <c r="H15" s="7" t="s">
        <v>185</v>
      </c>
      <c r="I15" s="7" t="s">
        <v>227</v>
      </c>
      <c r="J15" s="22"/>
      <c r="K15" s="11"/>
      <c r="L15" s="11"/>
      <c r="M15" s="11"/>
    </row>
    <row r="16" spans="1:14">
      <c r="A16" s="6">
        <v>45972</v>
      </c>
      <c r="B16" s="7" t="s">
        <v>966</v>
      </c>
      <c r="C16" s="7" t="s">
        <v>991</v>
      </c>
      <c r="D16" s="7" t="s">
        <v>992</v>
      </c>
      <c r="E16" s="7">
        <v>1</v>
      </c>
      <c r="F16" s="7">
        <v>10</v>
      </c>
      <c r="G16" s="7">
        <f t="shared" si="1"/>
        <v>10</v>
      </c>
      <c r="H16" s="7" t="s">
        <v>993</v>
      </c>
      <c r="I16" s="7" t="s">
        <v>994</v>
      </c>
      <c r="J16" s="23"/>
      <c r="K16" s="13"/>
      <c r="L16" s="13"/>
      <c r="M16" s="13"/>
    </row>
    <row r="17" spans="1:13">
      <c r="A17" s="6">
        <v>45972</v>
      </c>
      <c r="B17" s="7" t="s">
        <v>966</v>
      </c>
      <c r="C17" s="14" t="s">
        <v>995</v>
      </c>
      <c r="D17" s="14" t="s">
        <v>996</v>
      </c>
      <c r="E17" s="7">
        <v>1</v>
      </c>
      <c r="F17" s="7">
        <v>10</v>
      </c>
      <c r="G17" s="7">
        <f t="shared" si="1"/>
        <v>10</v>
      </c>
      <c r="H17" s="7" t="s">
        <v>520</v>
      </c>
      <c r="I17" s="7" t="s">
        <v>227</v>
      </c>
      <c r="J17" s="14" t="s">
        <v>176</v>
      </c>
      <c r="K17" s="7"/>
      <c r="L17" s="7"/>
      <c r="M17" s="7"/>
    </row>
    <row r="18" spans="1:13">
      <c r="A18" s="6">
        <v>46062</v>
      </c>
      <c r="B18" s="7" t="s">
        <v>966</v>
      </c>
      <c r="C18" s="14" t="s">
        <v>969</v>
      </c>
      <c r="D18" s="14" t="s">
        <v>970</v>
      </c>
      <c r="E18" s="7">
        <v>2</v>
      </c>
      <c r="F18" s="7">
        <v>1</v>
      </c>
      <c r="G18" s="7">
        <f t="shared" si="1"/>
        <v>2</v>
      </c>
      <c r="H18" s="7" t="s">
        <v>185</v>
      </c>
      <c r="I18" s="7" t="s">
        <v>971</v>
      </c>
      <c r="J18" s="14" t="s">
        <v>176</v>
      </c>
      <c r="K18" s="7"/>
      <c r="L18" s="7"/>
      <c r="M18" s="7"/>
    </row>
    <row r="19" spans="1:13">
      <c r="A19" s="6">
        <v>46062</v>
      </c>
      <c r="B19" s="7" t="s">
        <v>966</v>
      </c>
      <c r="C19" s="14" t="s">
        <v>972</v>
      </c>
      <c r="D19" s="14" t="s">
        <v>973</v>
      </c>
      <c r="E19" s="7">
        <v>2</v>
      </c>
      <c r="F19" s="7">
        <v>1</v>
      </c>
      <c r="G19" s="7">
        <f t="shared" ref="G19:G28" si="2">F19*E19</f>
        <v>2</v>
      </c>
      <c r="H19" s="7" t="s">
        <v>185</v>
      </c>
      <c r="I19" s="7" t="s">
        <v>971</v>
      </c>
      <c r="J19" s="14" t="s">
        <v>176</v>
      </c>
      <c r="K19" s="7"/>
      <c r="L19" s="7"/>
      <c r="M19" s="7"/>
    </row>
    <row r="20" spans="1:13">
      <c r="A20" s="6">
        <v>46062</v>
      </c>
      <c r="B20" s="7" t="s">
        <v>966</v>
      </c>
      <c r="C20" s="14" t="s">
        <v>974</v>
      </c>
      <c r="D20" s="14" t="s">
        <v>975</v>
      </c>
      <c r="E20" s="7">
        <v>25</v>
      </c>
      <c r="F20" s="7">
        <v>1</v>
      </c>
      <c r="G20" s="7">
        <f t="shared" si="2"/>
        <v>25</v>
      </c>
      <c r="H20" s="7" t="s">
        <v>185</v>
      </c>
      <c r="I20" s="7" t="s">
        <v>227</v>
      </c>
      <c r="J20" s="14" t="s">
        <v>176</v>
      </c>
      <c r="K20" s="7"/>
      <c r="L20" s="7"/>
      <c r="M20" s="7"/>
    </row>
    <row r="21" spans="1:13">
      <c r="A21" s="6">
        <v>46062</v>
      </c>
      <c r="B21" s="7" t="s">
        <v>966</v>
      </c>
      <c r="C21" s="14" t="s">
        <v>599</v>
      </c>
      <c r="D21" s="14" t="s">
        <v>978</v>
      </c>
      <c r="E21" s="7">
        <v>1</v>
      </c>
      <c r="F21" s="7">
        <v>1</v>
      </c>
      <c r="G21" s="7">
        <f t="shared" si="2"/>
        <v>1</v>
      </c>
      <c r="H21" s="7" t="s">
        <v>185</v>
      </c>
      <c r="I21" s="7" t="s">
        <v>227</v>
      </c>
      <c r="J21" s="14" t="s">
        <v>176</v>
      </c>
      <c r="K21" s="7"/>
      <c r="L21" s="7"/>
      <c r="M21" s="7"/>
    </row>
    <row r="22" spans="1:13">
      <c r="A22" s="6">
        <v>46062</v>
      </c>
      <c r="B22" s="7" t="s">
        <v>966</v>
      </c>
      <c r="C22" s="14" t="s">
        <v>482</v>
      </c>
      <c r="D22" s="14" t="s">
        <v>979</v>
      </c>
      <c r="E22" s="7">
        <v>4</v>
      </c>
      <c r="F22" s="7">
        <v>1</v>
      </c>
      <c r="G22" s="7">
        <f t="shared" si="2"/>
        <v>4</v>
      </c>
      <c r="H22" s="7" t="s">
        <v>185</v>
      </c>
      <c r="I22" s="7" t="s">
        <v>227</v>
      </c>
      <c r="J22" s="14" t="s">
        <v>176</v>
      </c>
      <c r="K22" s="7"/>
      <c r="L22" s="7"/>
      <c r="M22" s="7"/>
    </row>
    <row r="23" spans="1:13">
      <c r="A23" s="6">
        <v>46062</v>
      </c>
      <c r="B23" s="7" t="s">
        <v>966</v>
      </c>
      <c r="C23" s="14" t="s">
        <v>981</v>
      </c>
      <c r="D23" s="14" t="s">
        <v>982</v>
      </c>
      <c r="E23" s="7">
        <v>4</v>
      </c>
      <c r="F23" s="7">
        <v>1</v>
      </c>
      <c r="G23" s="7">
        <f t="shared" si="2"/>
        <v>4</v>
      </c>
      <c r="H23" s="7" t="s">
        <v>142</v>
      </c>
      <c r="I23" s="7" t="s">
        <v>227</v>
      </c>
      <c r="J23" s="14" t="s">
        <v>176</v>
      </c>
      <c r="K23" s="7"/>
      <c r="L23" s="7"/>
      <c r="M23" s="7"/>
    </row>
    <row r="24" spans="1:13">
      <c r="A24" s="6">
        <v>46062</v>
      </c>
      <c r="B24" s="7" t="s">
        <v>966</v>
      </c>
      <c r="C24" s="7" t="s">
        <v>983</v>
      </c>
      <c r="D24" s="7" t="s">
        <v>984</v>
      </c>
      <c r="E24" s="7">
        <v>4</v>
      </c>
      <c r="F24" s="7">
        <v>1</v>
      </c>
      <c r="G24" s="7">
        <f t="shared" si="2"/>
        <v>4</v>
      </c>
      <c r="H24" s="7" t="s">
        <v>185</v>
      </c>
      <c r="I24" s="7" t="s">
        <v>227</v>
      </c>
      <c r="J24" s="7"/>
      <c r="K24" s="7"/>
      <c r="L24" s="7" t="s">
        <v>228</v>
      </c>
      <c r="M24" s="7"/>
    </row>
    <row r="25" spans="1:13">
      <c r="A25" s="6">
        <v>46062</v>
      </c>
      <c r="B25" s="7" t="s">
        <v>966</v>
      </c>
      <c r="C25" s="14" t="s">
        <v>997</v>
      </c>
      <c r="D25" s="14" t="s">
        <v>998</v>
      </c>
      <c r="E25" s="7">
        <v>1</v>
      </c>
      <c r="F25" s="7">
        <v>1</v>
      </c>
      <c r="G25" s="7">
        <f t="shared" si="2"/>
        <v>1</v>
      </c>
      <c r="H25" s="7" t="s">
        <v>185</v>
      </c>
      <c r="I25" s="7" t="s">
        <v>227</v>
      </c>
      <c r="J25" s="14" t="s">
        <v>176</v>
      </c>
      <c r="K25" s="7"/>
      <c r="L25" s="7"/>
      <c r="M25" s="7"/>
    </row>
    <row r="26" spans="1:13">
      <c r="A26" s="6">
        <v>46062</v>
      </c>
      <c r="B26" s="7" t="s">
        <v>966</v>
      </c>
      <c r="C26" s="14" t="s">
        <v>999</v>
      </c>
      <c r="D26" s="14" t="s">
        <v>1000</v>
      </c>
      <c r="E26" s="7">
        <v>6</v>
      </c>
      <c r="F26" s="7">
        <v>1</v>
      </c>
      <c r="G26" s="7">
        <f t="shared" si="2"/>
        <v>6</v>
      </c>
      <c r="H26" s="7" t="s">
        <v>185</v>
      </c>
      <c r="I26" s="7" t="s">
        <v>227</v>
      </c>
      <c r="J26" s="14" t="s">
        <v>176</v>
      </c>
      <c r="K26" s="7"/>
      <c r="L26" s="7"/>
      <c r="M26" s="7"/>
    </row>
    <row r="27" spans="1:13">
      <c r="A27" s="6">
        <v>45996</v>
      </c>
      <c r="B27" s="7" t="s">
        <v>966</v>
      </c>
      <c r="C27" s="14" t="s">
        <v>999</v>
      </c>
      <c r="D27" s="14" t="s">
        <v>1000</v>
      </c>
      <c r="E27" s="7">
        <v>6</v>
      </c>
      <c r="F27" s="7">
        <v>10</v>
      </c>
      <c r="G27" s="7">
        <f t="shared" si="2"/>
        <v>60</v>
      </c>
      <c r="H27" s="7" t="s">
        <v>185</v>
      </c>
      <c r="I27" s="7" t="s">
        <v>227</v>
      </c>
      <c r="J27" s="14" t="s">
        <v>176</v>
      </c>
      <c r="K27" s="7"/>
      <c r="L27" s="7" t="s">
        <v>303</v>
      </c>
      <c r="M27" s="7"/>
    </row>
    <row r="28" spans="1:13">
      <c r="A28" s="6">
        <v>46055</v>
      </c>
      <c r="B28" s="7" t="s">
        <v>966</v>
      </c>
      <c r="C28" s="14" t="s">
        <v>997</v>
      </c>
      <c r="D28" s="14" t="s">
        <v>998</v>
      </c>
      <c r="E28" s="7">
        <v>1</v>
      </c>
      <c r="F28" s="7">
        <v>1</v>
      </c>
      <c r="G28" s="7">
        <f t="shared" si="2"/>
        <v>1</v>
      </c>
      <c r="H28" s="7" t="s">
        <v>185</v>
      </c>
      <c r="I28" s="7" t="s">
        <v>227</v>
      </c>
      <c r="J28" s="14" t="s">
        <v>176</v>
      </c>
      <c r="K28" s="7"/>
      <c r="L28" s="7"/>
      <c r="M28" s="7"/>
    </row>
    <row r="29" spans="1:13">
      <c r="A29" s="6">
        <v>45967</v>
      </c>
      <c r="B29" s="7" t="s">
        <v>966</v>
      </c>
      <c r="C29" s="14" t="s">
        <v>1001</v>
      </c>
      <c r="D29" s="14" t="s">
        <v>1002</v>
      </c>
      <c r="E29" s="7">
        <v>1</v>
      </c>
      <c r="F29" s="7">
        <v>11</v>
      </c>
      <c r="G29" s="7">
        <f t="shared" ref="G29:G40" si="3">F29*E29</f>
        <v>11</v>
      </c>
      <c r="H29" s="7" t="s">
        <v>185</v>
      </c>
      <c r="I29" s="7" t="s">
        <v>954</v>
      </c>
      <c r="J29" s="21" t="s">
        <v>176</v>
      </c>
      <c r="K29" s="24">
        <v>46371</v>
      </c>
      <c r="L29" s="28" t="s">
        <v>1003</v>
      </c>
      <c r="M29" s="16" t="s">
        <v>183</v>
      </c>
    </row>
    <row r="30" spans="1:13">
      <c r="A30" s="6">
        <v>45967</v>
      </c>
      <c r="B30" s="7" t="s">
        <v>966</v>
      </c>
      <c r="C30" s="14" t="s">
        <v>1004</v>
      </c>
      <c r="D30" s="14" t="s">
        <v>1002</v>
      </c>
      <c r="E30" s="7">
        <v>1</v>
      </c>
      <c r="F30" s="7">
        <v>11</v>
      </c>
      <c r="G30" s="7">
        <f t="shared" si="3"/>
        <v>11</v>
      </c>
      <c r="H30" s="7" t="s">
        <v>185</v>
      </c>
      <c r="I30" s="7" t="s">
        <v>954</v>
      </c>
      <c r="J30" s="22"/>
      <c r="K30" s="29"/>
      <c r="L30" s="28"/>
      <c r="M30" s="11"/>
    </row>
    <row r="31" spans="1:13">
      <c r="A31" s="6">
        <v>45967</v>
      </c>
      <c r="B31" s="7" t="s">
        <v>966</v>
      </c>
      <c r="C31" s="14" t="s">
        <v>1005</v>
      </c>
      <c r="D31" s="14" t="s">
        <v>1002</v>
      </c>
      <c r="E31" s="7">
        <v>1</v>
      </c>
      <c r="F31" s="7">
        <v>11</v>
      </c>
      <c r="G31" s="7">
        <f t="shared" si="3"/>
        <v>11</v>
      </c>
      <c r="H31" s="7" t="s">
        <v>185</v>
      </c>
      <c r="I31" s="7" t="s">
        <v>954</v>
      </c>
      <c r="J31" s="22"/>
      <c r="K31" s="29"/>
      <c r="L31" s="28"/>
      <c r="M31" s="11"/>
    </row>
    <row r="32" spans="1:13">
      <c r="A32" s="6">
        <v>45967</v>
      </c>
      <c r="B32" s="7" t="s">
        <v>966</v>
      </c>
      <c r="C32" s="14" t="s">
        <v>1006</v>
      </c>
      <c r="D32" s="14" t="s">
        <v>1002</v>
      </c>
      <c r="E32" s="7">
        <v>1</v>
      </c>
      <c r="F32" s="7">
        <v>11</v>
      </c>
      <c r="G32" s="7">
        <f t="shared" si="3"/>
        <v>11</v>
      </c>
      <c r="H32" s="7" t="s">
        <v>185</v>
      </c>
      <c r="I32" s="7" t="s">
        <v>954</v>
      </c>
      <c r="J32" s="22"/>
      <c r="K32" s="29"/>
      <c r="L32" s="28"/>
      <c r="M32" s="11"/>
    </row>
    <row r="33" spans="1:13">
      <c r="A33" s="6">
        <v>45967</v>
      </c>
      <c r="B33" s="7" t="s">
        <v>966</v>
      </c>
      <c r="C33" s="14" t="s">
        <v>1007</v>
      </c>
      <c r="D33" s="14" t="s">
        <v>1002</v>
      </c>
      <c r="E33" s="7">
        <v>1</v>
      </c>
      <c r="F33" s="7">
        <v>11</v>
      </c>
      <c r="G33" s="7">
        <f t="shared" si="3"/>
        <v>11</v>
      </c>
      <c r="H33" s="7" t="s">
        <v>185</v>
      </c>
      <c r="I33" s="7" t="s">
        <v>954</v>
      </c>
      <c r="J33" s="22"/>
      <c r="K33" s="29"/>
      <c r="L33" s="28"/>
      <c r="M33" s="11"/>
    </row>
    <row r="34" spans="1:13">
      <c r="A34" s="6">
        <v>45967</v>
      </c>
      <c r="B34" s="7" t="s">
        <v>966</v>
      </c>
      <c r="C34" s="14" t="s">
        <v>1008</v>
      </c>
      <c r="D34" s="14" t="s">
        <v>1002</v>
      </c>
      <c r="E34" s="7">
        <v>6</v>
      </c>
      <c r="F34" s="7">
        <v>11</v>
      </c>
      <c r="G34" s="7">
        <f t="shared" si="3"/>
        <v>66</v>
      </c>
      <c r="H34" s="7" t="s">
        <v>185</v>
      </c>
      <c r="I34" s="7" t="s">
        <v>954</v>
      </c>
      <c r="J34" s="22"/>
      <c r="K34" s="29"/>
      <c r="L34" s="28"/>
      <c r="M34" s="11"/>
    </row>
    <row r="35" spans="1:13">
      <c r="A35" s="6">
        <v>45967</v>
      </c>
      <c r="B35" s="7" t="s">
        <v>966</v>
      </c>
      <c r="C35" s="7" t="s">
        <v>1009</v>
      </c>
      <c r="D35" s="7" t="s">
        <v>1010</v>
      </c>
      <c r="E35" s="7">
        <v>2</v>
      </c>
      <c r="F35" s="7">
        <v>11</v>
      </c>
      <c r="G35" s="7">
        <f t="shared" si="3"/>
        <v>22</v>
      </c>
      <c r="H35" s="7" t="s">
        <v>185</v>
      </c>
      <c r="I35" s="7" t="s">
        <v>954</v>
      </c>
      <c r="J35" s="22"/>
      <c r="K35" s="29"/>
      <c r="L35" s="28"/>
      <c r="M35" s="11"/>
    </row>
    <row r="36" spans="1:13">
      <c r="A36" s="6">
        <v>45967</v>
      </c>
      <c r="B36" s="7" t="s">
        <v>966</v>
      </c>
      <c r="C36" s="7" t="s">
        <v>1011</v>
      </c>
      <c r="D36" s="7" t="s">
        <v>1010</v>
      </c>
      <c r="E36" s="7">
        <v>4</v>
      </c>
      <c r="F36" s="7">
        <v>11</v>
      </c>
      <c r="G36" s="7">
        <f t="shared" si="3"/>
        <v>44</v>
      </c>
      <c r="H36" s="7" t="s">
        <v>185</v>
      </c>
      <c r="I36" s="7" t="s">
        <v>954</v>
      </c>
      <c r="J36" s="23"/>
      <c r="K36" s="30"/>
      <c r="L36" s="28"/>
      <c r="M36" s="13"/>
    </row>
    <row r="37" spans="1:13">
      <c r="A37" s="6">
        <v>45996</v>
      </c>
      <c r="B37" s="7" t="s">
        <v>966</v>
      </c>
      <c r="C37" s="7" t="s">
        <v>1012</v>
      </c>
      <c r="D37" s="7" t="s">
        <v>1013</v>
      </c>
      <c r="E37" s="7">
        <v>1</v>
      </c>
      <c r="F37" s="7">
        <v>10</v>
      </c>
      <c r="G37" s="7">
        <f t="shared" si="3"/>
        <v>10</v>
      </c>
      <c r="H37" s="7" t="s">
        <v>185</v>
      </c>
      <c r="I37" s="7" t="s">
        <v>954</v>
      </c>
      <c r="J37" s="17" t="s">
        <v>176</v>
      </c>
      <c r="K37" s="7"/>
      <c r="L37" s="8" t="s">
        <v>303</v>
      </c>
      <c r="M37" s="7"/>
    </row>
    <row r="38" spans="1:13">
      <c r="A38" s="6">
        <v>45996</v>
      </c>
      <c r="B38" s="7" t="s">
        <v>966</v>
      </c>
      <c r="C38" s="7" t="s">
        <v>1014</v>
      </c>
      <c r="D38" s="7" t="s">
        <v>1010</v>
      </c>
      <c r="E38" s="7">
        <v>2</v>
      </c>
      <c r="F38" s="7">
        <v>10</v>
      </c>
      <c r="G38" s="7">
        <f t="shared" si="3"/>
        <v>20</v>
      </c>
      <c r="H38" s="7" t="s">
        <v>185</v>
      </c>
      <c r="I38" s="7" t="s">
        <v>954</v>
      </c>
      <c r="J38" s="19"/>
      <c r="K38" s="7"/>
      <c r="L38" s="12"/>
      <c r="M38" s="7"/>
    </row>
    <row r="39" spans="1:13">
      <c r="A39" s="6">
        <v>46044</v>
      </c>
      <c r="B39" s="7" t="s">
        <v>966</v>
      </c>
      <c r="C39" s="7" t="s">
        <v>1015</v>
      </c>
      <c r="D39" s="7" t="s">
        <v>1016</v>
      </c>
      <c r="E39" s="7">
        <v>1</v>
      </c>
      <c r="F39" s="7">
        <v>10</v>
      </c>
      <c r="G39" s="7">
        <f t="shared" si="3"/>
        <v>10</v>
      </c>
      <c r="H39" s="7" t="s">
        <v>185</v>
      </c>
      <c r="I39" s="7" t="s">
        <v>954</v>
      </c>
      <c r="J39" s="7"/>
      <c r="K39" s="7"/>
      <c r="L39" s="6" t="s">
        <v>1017</v>
      </c>
      <c r="M39" s="7"/>
    </row>
    <row r="40" spans="1:13">
      <c r="A40" s="6">
        <v>46107</v>
      </c>
      <c r="B40" s="7" t="s">
        <v>966</v>
      </c>
      <c r="C40" s="7" t="s">
        <v>1004</v>
      </c>
      <c r="D40" s="7" t="s">
        <v>1002</v>
      </c>
      <c r="E40" s="7">
        <v>10</v>
      </c>
      <c r="F40" s="7">
        <v>10</v>
      </c>
      <c r="G40" s="7">
        <f t="shared" si="3"/>
        <v>100</v>
      </c>
      <c r="H40" s="7" t="s">
        <v>185</v>
      </c>
      <c r="I40" s="7" t="s">
        <v>954</v>
      </c>
      <c r="J40" s="31" t="s">
        <v>152</v>
      </c>
      <c r="K40" s="7"/>
      <c r="L40" s="7" t="s">
        <v>261</v>
      </c>
      <c r="M40" s="7"/>
    </row>
    <row r="41" spans="1:13">
      <c r="A41" s="6">
        <v>46107</v>
      </c>
      <c r="B41" s="7" t="s">
        <v>966</v>
      </c>
      <c r="C41" s="7" t="s">
        <v>1007</v>
      </c>
      <c r="D41" s="7" t="s">
        <v>1002</v>
      </c>
      <c r="E41" s="7">
        <v>10</v>
      </c>
      <c r="F41" s="7">
        <v>10</v>
      </c>
      <c r="G41" s="7">
        <f t="shared" ref="G41:G47" si="4">F41*E41</f>
        <v>100</v>
      </c>
      <c r="H41" s="7" t="s">
        <v>185</v>
      </c>
      <c r="I41" s="7" t="s">
        <v>954</v>
      </c>
      <c r="J41" s="31" t="s">
        <v>152</v>
      </c>
      <c r="K41" s="7"/>
      <c r="L41" s="7" t="s">
        <v>261</v>
      </c>
      <c r="M41" s="7"/>
    </row>
    <row r="42" spans="1:13">
      <c r="A42" s="6">
        <v>46107</v>
      </c>
      <c r="B42" s="7" t="s">
        <v>966</v>
      </c>
      <c r="C42" s="7" t="s">
        <v>1001</v>
      </c>
      <c r="D42" s="7" t="s">
        <v>1002</v>
      </c>
      <c r="E42" s="7">
        <v>10</v>
      </c>
      <c r="F42" s="7">
        <v>10</v>
      </c>
      <c r="G42" s="7">
        <f t="shared" si="4"/>
        <v>100</v>
      </c>
      <c r="H42" s="7" t="s">
        <v>185</v>
      </c>
      <c r="I42" s="7" t="s">
        <v>954</v>
      </c>
      <c r="J42" s="31" t="s">
        <v>152</v>
      </c>
      <c r="K42" s="7"/>
      <c r="L42" s="7" t="s">
        <v>261</v>
      </c>
      <c r="M42" s="7"/>
    </row>
    <row r="43" spans="1:13">
      <c r="A43" s="6">
        <v>46107</v>
      </c>
      <c r="B43" s="7" t="s">
        <v>966</v>
      </c>
      <c r="C43" s="7" t="s">
        <v>1006</v>
      </c>
      <c r="D43" s="7" t="s">
        <v>1002</v>
      </c>
      <c r="E43" s="7">
        <v>10</v>
      </c>
      <c r="F43" s="7">
        <v>10</v>
      </c>
      <c r="G43" s="7">
        <f t="shared" si="4"/>
        <v>100</v>
      </c>
      <c r="H43" s="7" t="s">
        <v>185</v>
      </c>
      <c r="I43" s="7" t="s">
        <v>954</v>
      </c>
      <c r="J43" s="31" t="s">
        <v>152</v>
      </c>
      <c r="K43" s="7"/>
      <c r="L43" s="7" t="s">
        <v>261</v>
      </c>
      <c r="M43" s="7"/>
    </row>
    <row r="44" spans="1:13">
      <c r="A44" s="6">
        <v>46107</v>
      </c>
      <c r="B44" s="7" t="s">
        <v>966</v>
      </c>
      <c r="C44" s="7" t="s">
        <v>1018</v>
      </c>
      <c r="D44" s="7" t="s">
        <v>1002</v>
      </c>
      <c r="E44" s="7">
        <v>22</v>
      </c>
      <c r="F44" s="7">
        <v>10</v>
      </c>
      <c r="G44" s="7">
        <f t="shared" si="4"/>
        <v>220</v>
      </c>
      <c r="H44" s="7" t="s">
        <v>185</v>
      </c>
      <c r="I44" s="7" t="s">
        <v>954</v>
      </c>
      <c r="J44" s="31" t="s">
        <v>152</v>
      </c>
      <c r="K44" s="7"/>
      <c r="L44" s="7" t="s">
        <v>261</v>
      </c>
      <c r="M44" s="7"/>
    </row>
    <row r="45" spans="1:13">
      <c r="A45" s="6">
        <v>46107</v>
      </c>
      <c r="B45" s="7" t="s">
        <v>966</v>
      </c>
      <c r="C45" s="7" t="s">
        <v>1019</v>
      </c>
      <c r="D45" s="7" t="s">
        <v>1010</v>
      </c>
      <c r="E45" s="7">
        <v>22</v>
      </c>
      <c r="F45" s="7">
        <v>10</v>
      </c>
      <c r="G45" s="7">
        <f t="shared" si="4"/>
        <v>220</v>
      </c>
      <c r="H45" s="7" t="s">
        <v>185</v>
      </c>
      <c r="I45" s="7" t="s">
        <v>954</v>
      </c>
      <c r="J45" s="15" t="s">
        <v>162</v>
      </c>
      <c r="K45" s="7"/>
      <c r="L45" s="8" t="s">
        <v>191</v>
      </c>
      <c r="M45" s="7"/>
    </row>
    <row r="46" spans="1:13">
      <c r="A46" s="6">
        <v>46107</v>
      </c>
      <c r="B46" s="7" t="s">
        <v>966</v>
      </c>
      <c r="C46" s="7" t="s">
        <v>1020</v>
      </c>
      <c r="D46" s="7" t="s">
        <v>1021</v>
      </c>
      <c r="E46" s="7">
        <v>22</v>
      </c>
      <c r="F46" s="7">
        <v>10</v>
      </c>
      <c r="G46" s="7">
        <f t="shared" si="4"/>
        <v>220</v>
      </c>
      <c r="H46" s="7" t="s">
        <v>185</v>
      </c>
      <c r="I46" s="7" t="s">
        <v>954</v>
      </c>
      <c r="J46" s="15" t="s">
        <v>162</v>
      </c>
      <c r="K46" s="7"/>
      <c r="L46" s="12"/>
      <c r="M46" s="7"/>
    </row>
    <row r="47" spans="1:13">
      <c r="A47" s="6">
        <v>46107</v>
      </c>
      <c r="B47" s="7" t="s">
        <v>966</v>
      </c>
      <c r="C47" s="7" t="s">
        <v>1022</v>
      </c>
      <c r="D47" s="7" t="s">
        <v>1013</v>
      </c>
      <c r="E47" s="7">
        <v>2</v>
      </c>
      <c r="F47" s="7">
        <v>10</v>
      </c>
      <c r="G47" s="7">
        <f t="shared" si="4"/>
        <v>20</v>
      </c>
      <c r="H47" s="7" t="s">
        <v>185</v>
      </c>
      <c r="I47" s="7" t="s">
        <v>954</v>
      </c>
      <c r="J47" s="7" t="s">
        <v>152</v>
      </c>
      <c r="K47" s="7"/>
      <c r="L47" s="7" t="s">
        <v>1023</v>
      </c>
      <c r="M47" s="7"/>
    </row>
    <row r="48" spans="1:13">
      <c r="A48" s="32"/>
    </row>
  </sheetData>
  <mergeCells count="16">
    <mergeCell ref="J2:J11"/>
    <mergeCell ref="J12:J16"/>
    <mergeCell ref="J29:J36"/>
    <mergeCell ref="J37:J38"/>
    <mergeCell ref="K2:K11"/>
    <mergeCell ref="K12:K16"/>
    <mergeCell ref="K29:K36"/>
    <mergeCell ref="L2:L4"/>
    <mergeCell ref="L6:L11"/>
    <mergeCell ref="L12:L16"/>
    <mergeCell ref="L29:L36"/>
    <mergeCell ref="L37:L38"/>
    <mergeCell ref="L45:L46"/>
    <mergeCell ref="M2:M11"/>
    <mergeCell ref="M12:M16"/>
    <mergeCell ref="M29:M36"/>
  </mergeCells>
  <dataValidations count="1">
    <dataValidation type="list" allowBlank="1" showInputMessage="1" showErrorMessage="1" sqref="J2:J47">
      <formula1>"已到货,未到货,到货不全"</formula1>
    </dataValidation>
  </dataValidation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7"/>
  <sheetViews>
    <sheetView topLeftCell="B99" workbookViewId="0">
      <selection activeCell="L34" sqref="L34:L40"/>
    </sheetView>
  </sheetViews>
  <sheetFormatPr defaultColWidth="8.66666666666667" defaultRowHeight="14"/>
  <cols>
    <col min="1" max="1" width="10.3333333333333"/>
    <col min="3" max="3" width="13.1666666666667" customWidth="1"/>
    <col min="4" max="4" width="37.5833333333333" customWidth="1"/>
  </cols>
  <sheetData>
    <row r="1" s="1" customFormat="1" ht="30.65" customHeight="1" spans="1:14">
      <c r="A1" s="2" t="s">
        <v>128</v>
      </c>
      <c r="B1" s="3" t="s">
        <v>129</v>
      </c>
      <c r="C1" s="4" t="s">
        <v>130</v>
      </c>
      <c r="D1" s="2" t="s">
        <v>131</v>
      </c>
      <c r="E1" s="2" t="s">
        <v>4</v>
      </c>
      <c r="F1" s="2" t="s">
        <v>132</v>
      </c>
      <c r="G1" s="3" t="s">
        <v>133</v>
      </c>
      <c r="H1" s="3" t="s">
        <v>134</v>
      </c>
      <c r="I1" s="3" t="s">
        <v>2</v>
      </c>
      <c r="J1" s="3" t="s">
        <v>135</v>
      </c>
      <c r="K1" s="2" t="s">
        <v>136</v>
      </c>
      <c r="L1" s="2" t="s">
        <v>137</v>
      </c>
      <c r="M1" s="3" t="s">
        <v>138</v>
      </c>
      <c r="N1" s="5"/>
    </row>
    <row r="2" spans="1:14">
      <c r="A2" s="6">
        <v>46062</v>
      </c>
      <c r="B2" s="7" t="s">
        <v>935</v>
      </c>
      <c r="C2" s="7" t="s">
        <v>444</v>
      </c>
      <c r="D2" s="7" t="s">
        <v>1024</v>
      </c>
      <c r="E2" s="7">
        <v>2</v>
      </c>
      <c r="F2" s="7">
        <v>65</v>
      </c>
      <c r="G2" s="7">
        <f>E2*F2</f>
        <v>130</v>
      </c>
      <c r="H2" s="7" t="s">
        <v>190</v>
      </c>
      <c r="I2" s="7" t="s">
        <v>1025</v>
      </c>
      <c r="J2" s="8"/>
      <c r="K2" s="8"/>
      <c r="L2" s="9" t="s">
        <v>1026</v>
      </c>
      <c r="M2" s="8"/>
    </row>
    <row r="3" spans="1:14">
      <c r="A3" s="6">
        <v>46062</v>
      </c>
      <c r="B3" s="7" t="s">
        <v>935</v>
      </c>
      <c r="C3" s="7" t="s">
        <v>444</v>
      </c>
      <c r="D3" s="7" t="s">
        <v>1027</v>
      </c>
      <c r="E3" s="7">
        <v>6</v>
      </c>
      <c r="F3" s="7">
        <v>65</v>
      </c>
      <c r="G3" s="7">
        <f t="shared" ref="G3:G34" si="0">E3*F3</f>
        <v>390</v>
      </c>
      <c r="H3" s="7" t="s">
        <v>190</v>
      </c>
      <c r="I3" s="7" t="s">
        <v>1028</v>
      </c>
      <c r="J3" s="10"/>
      <c r="K3" s="10"/>
      <c r="L3" s="11"/>
      <c r="M3" s="10"/>
    </row>
    <row r="4" spans="1:14">
      <c r="A4" s="6">
        <v>46062</v>
      </c>
      <c r="B4" s="7" t="s">
        <v>935</v>
      </c>
      <c r="C4" s="7" t="s">
        <v>444</v>
      </c>
      <c r="D4" s="7" t="s">
        <v>1029</v>
      </c>
      <c r="E4" s="7">
        <v>4</v>
      </c>
      <c r="F4" s="7">
        <v>65</v>
      </c>
      <c r="G4" s="7">
        <f t="shared" si="0"/>
        <v>260</v>
      </c>
      <c r="H4" s="7" t="s">
        <v>190</v>
      </c>
      <c r="I4" s="7" t="s">
        <v>1025</v>
      </c>
      <c r="J4" s="10"/>
      <c r="K4" s="10"/>
      <c r="L4" s="11"/>
      <c r="M4" s="10"/>
    </row>
    <row r="5" spans="1:14">
      <c r="A5" s="6">
        <v>46062</v>
      </c>
      <c r="B5" s="7" t="s">
        <v>935</v>
      </c>
      <c r="C5" s="7" t="s">
        <v>444</v>
      </c>
      <c r="D5" s="7" t="s">
        <v>1030</v>
      </c>
      <c r="E5" s="7">
        <v>4</v>
      </c>
      <c r="F5" s="7">
        <v>65</v>
      </c>
      <c r="G5" s="7">
        <f t="shared" si="0"/>
        <v>260</v>
      </c>
      <c r="H5" s="7" t="s">
        <v>190</v>
      </c>
      <c r="I5" s="7" t="s">
        <v>1025</v>
      </c>
      <c r="J5" s="10"/>
      <c r="K5" s="10"/>
      <c r="L5" s="11"/>
      <c r="M5" s="10"/>
    </row>
    <row r="6" spans="1:14">
      <c r="A6" s="6">
        <v>46062</v>
      </c>
      <c r="B6" s="7" t="s">
        <v>935</v>
      </c>
      <c r="C6" s="7" t="s">
        <v>444</v>
      </c>
      <c r="D6" s="7" t="s">
        <v>1031</v>
      </c>
      <c r="E6" s="7">
        <v>3</v>
      </c>
      <c r="F6" s="7">
        <v>65</v>
      </c>
      <c r="G6" s="7">
        <f t="shared" si="0"/>
        <v>195</v>
      </c>
      <c r="H6" s="7" t="s">
        <v>190</v>
      </c>
      <c r="I6" s="7" t="s">
        <v>1028</v>
      </c>
      <c r="J6" s="10"/>
      <c r="K6" s="10"/>
      <c r="L6" s="11"/>
      <c r="M6" s="10"/>
    </row>
    <row r="7" spans="1:14">
      <c r="A7" s="6">
        <v>46062</v>
      </c>
      <c r="B7" s="7" t="s">
        <v>935</v>
      </c>
      <c r="C7" s="7" t="s">
        <v>444</v>
      </c>
      <c r="D7" s="7" t="s">
        <v>1032</v>
      </c>
      <c r="E7" s="7">
        <v>1</v>
      </c>
      <c r="F7" s="7">
        <v>65</v>
      </c>
      <c r="G7" s="7">
        <f t="shared" si="0"/>
        <v>65</v>
      </c>
      <c r="H7" s="7" t="s">
        <v>190</v>
      </c>
      <c r="I7" s="7" t="s">
        <v>1025</v>
      </c>
      <c r="J7" s="10"/>
      <c r="K7" s="10"/>
      <c r="L7" s="11"/>
      <c r="M7" s="10"/>
    </row>
    <row r="8" spans="1:14">
      <c r="A8" s="6">
        <v>46062</v>
      </c>
      <c r="B8" s="7" t="s">
        <v>935</v>
      </c>
      <c r="C8" s="7" t="s">
        <v>444</v>
      </c>
      <c r="D8" s="7" t="s">
        <v>1033</v>
      </c>
      <c r="E8" s="7">
        <v>2</v>
      </c>
      <c r="F8" s="7">
        <v>65</v>
      </c>
      <c r="G8" s="7">
        <f t="shared" si="0"/>
        <v>130</v>
      </c>
      <c r="H8" s="7" t="s">
        <v>190</v>
      </c>
      <c r="I8" s="7" t="s">
        <v>1028</v>
      </c>
      <c r="J8" s="10"/>
      <c r="K8" s="10"/>
      <c r="L8" s="11"/>
      <c r="M8" s="10"/>
    </row>
    <row r="9" spans="1:14">
      <c r="A9" s="6">
        <v>46062</v>
      </c>
      <c r="B9" s="7" t="s">
        <v>935</v>
      </c>
      <c r="C9" s="7" t="s">
        <v>444</v>
      </c>
      <c r="D9" s="7" t="s">
        <v>1034</v>
      </c>
      <c r="E9" s="7">
        <v>4</v>
      </c>
      <c r="F9" s="7">
        <v>65</v>
      </c>
      <c r="G9" s="7">
        <f t="shared" si="0"/>
        <v>260</v>
      </c>
      <c r="H9" s="7" t="s">
        <v>190</v>
      </c>
      <c r="I9" s="7" t="s">
        <v>1035</v>
      </c>
      <c r="J9" s="10"/>
      <c r="K9" s="10"/>
      <c r="L9" s="11"/>
      <c r="M9" s="10"/>
    </row>
    <row r="10" spans="1:14">
      <c r="A10" s="6">
        <v>46062</v>
      </c>
      <c r="B10" s="7" t="s">
        <v>935</v>
      </c>
      <c r="C10" s="7" t="s">
        <v>444</v>
      </c>
      <c r="D10" s="7" t="s">
        <v>1036</v>
      </c>
      <c r="E10" s="7">
        <v>1</v>
      </c>
      <c r="F10" s="7">
        <v>65</v>
      </c>
      <c r="G10" s="7">
        <f t="shared" si="0"/>
        <v>65</v>
      </c>
      <c r="H10" s="7" t="s">
        <v>190</v>
      </c>
      <c r="I10" s="7" t="s">
        <v>1035</v>
      </c>
      <c r="J10" s="10"/>
      <c r="K10" s="10"/>
      <c r="L10" s="11"/>
      <c r="M10" s="10"/>
    </row>
    <row r="11" spans="1:14">
      <c r="A11" s="6">
        <v>46062</v>
      </c>
      <c r="B11" s="7" t="s">
        <v>935</v>
      </c>
      <c r="C11" s="7" t="s">
        <v>444</v>
      </c>
      <c r="D11" s="7" t="s">
        <v>1037</v>
      </c>
      <c r="E11" s="7">
        <v>2</v>
      </c>
      <c r="F11" s="7">
        <v>65</v>
      </c>
      <c r="G11" s="7">
        <f t="shared" si="0"/>
        <v>130</v>
      </c>
      <c r="H11" s="7" t="s">
        <v>190</v>
      </c>
      <c r="I11" s="7" t="s">
        <v>1035</v>
      </c>
      <c r="J11" s="10"/>
      <c r="K11" s="10"/>
      <c r="L11" s="11"/>
      <c r="M11" s="10"/>
    </row>
    <row r="12" spans="1:14">
      <c r="A12" s="6">
        <v>46062</v>
      </c>
      <c r="B12" s="7" t="s">
        <v>935</v>
      </c>
      <c r="C12" s="7" t="s">
        <v>444</v>
      </c>
      <c r="D12" s="7" t="s">
        <v>1038</v>
      </c>
      <c r="E12" s="7">
        <v>1</v>
      </c>
      <c r="F12" s="7">
        <v>65</v>
      </c>
      <c r="G12" s="7">
        <f t="shared" si="0"/>
        <v>65</v>
      </c>
      <c r="H12" s="7" t="s">
        <v>190</v>
      </c>
      <c r="I12" s="7" t="s">
        <v>1035</v>
      </c>
      <c r="J12" s="10"/>
      <c r="K12" s="10"/>
      <c r="L12" s="11"/>
      <c r="M12" s="10"/>
    </row>
    <row r="13" spans="1:14">
      <c r="A13" s="6">
        <v>46062</v>
      </c>
      <c r="B13" s="7" t="s">
        <v>935</v>
      </c>
      <c r="C13" s="7" t="s">
        <v>444</v>
      </c>
      <c r="D13" s="7" t="s">
        <v>683</v>
      </c>
      <c r="E13" s="7">
        <v>5</v>
      </c>
      <c r="F13" s="7">
        <v>65</v>
      </c>
      <c r="G13" s="7">
        <f t="shared" si="0"/>
        <v>325</v>
      </c>
      <c r="H13" s="7" t="s">
        <v>190</v>
      </c>
      <c r="I13" s="7" t="s">
        <v>471</v>
      </c>
      <c r="J13" s="10"/>
      <c r="K13" s="10"/>
      <c r="L13" s="11"/>
      <c r="M13" s="10"/>
    </row>
    <row r="14" spans="1:14">
      <c r="A14" s="6">
        <v>46062</v>
      </c>
      <c r="B14" s="7" t="s">
        <v>935</v>
      </c>
      <c r="C14" s="7" t="s">
        <v>444</v>
      </c>
      <c r="D14" s="7" t="s">
        <v>1039</v>
      </c>
      <c r="E14" s="7">
        <v>2</v>
      </c>
      <c r="F14" s="7">
        <v>65</v>
      </c>
      <c r="G14" s="7">
        <f t="shared" si="0"/>
        <v>130</v>
      </c>
      <c r="H14" s="7" t="s">
        <v>190</v>
      </c>
      <c r="I14" s="7" t="s">
        <v>1025</v>
      </c>
      <c r="J14" s="10"/>
      <c r="K14" s="10"/>
      <c r="L14" s="11"/>
      <c r="M14" s="10"/>
    </row>
    <row r="15" spans="1:14">
      <c r="A15" s="6">
        <v>46062</v>
      </c>
      <c r="B15" s="7" t="s">
        <v>935</v>
      </c>
      <c r="C15" s="7" t="s">
        <v>444</v>
      </c>
      <c r="D15" s="7" t="s">
        <v>1040</v>
      </c>
      <c r="E15" s="7">
        <v>2</v>
      </c>
      <c r="F15" s="7">
        <v>65</v>
      </c>
      <c r="G15" s="7">
        <f t="shared" si="0"/>
        <v>130</v>
      </c>
      <c r="H15" s="7" t="s">
        <v>190</v>
      </c>
      <c r="I15" s="7" t="s">
        <v>1028</v>
      </c>
      <c r="J15" s="10"/>
      <c r="K15" s="10"/>
      <c r="L15" s="11"/>
      <c r="M15" s="10"/>
    </row>
    <row r="16" spans="1:14">
      <c r="A16" s="6">
        <v>46062</v>
      </c>
      <c r="B16" s="7" t="s">
        <v>935</v>
      </c>
      <c r="C16" s="7" t="s">
        <v>444</v>
      </c>
      <c r="D16" s="7" t="s">
        <v>1041</v>
      </c>
      <c r="E16" s="7">
        <v>17</v>
      </c>
      <c r="F16" s="7">
        <v>65</v>
      </c>
      <c r="G16" s="7">
        <f t="shared" si="0"/>
        <v>1105</v>
      </c>
      <c r="H16" s="7" t="s">
        <v>190</v>
      </c>
      <c r="I16" s="7" t="s">
        <v>1025</v>
      </c>
      <c r="J16" s="10"/>
      <c r="K16" s="10"/>
      <c r="L16" s="11"/>
      <c r="M16" s="10"/>
    </row>
    <row r="17" spans="1:13">
      <c r="A17" s="6">
        <v>46062</v>
      </c>
      <c r="B17" s="7" t="s">
        <v>935</v>
      </c>
      <c r="C17" s="7" t="s">
        <v>444</v>
      </c>
      <c r="D17" s="7" t="s">
        <v>1042</v>
      </c>
      <c r="E17" s="7">
        <v>6</v>
      </c>
      <c r="F17" s="7">
        <v>65</v>
      </c>
      <c r="G17" s="7">
        <f t="shared" si="0"/>
        <v>390</v>
      </c>
      <c r="H17" s="7" t="s">
        <v>190</v>
      </c>
      <c r="I17" s="7" t="s">
        <v>1035</v>
      </c>
      <c r="J17" s="10"/>
      <c r="K17" s="10"/>
      <c r="L17" s="11"/>
      <c r="M17" s="10"/>
    </row>
    <row r="18" spans="1:13">
      <c r="A18" s="6">
        <v>46062</v>
      </c>
      <c r="B18" s="7" t="s">
        <v>935</v>
      </c>
      <c r="C18" s="7" t="s">
        <v>444</v>
      </c>
      <c r="D18" s="7" t="s">
        <v>1043</v>
      </c>
      <c r="E18" s="7">
        <v>1</v>
      </c>
      <c r="F18" s="7">
        <v>65</v>
      </c>
      <c r="G18" s="7">
        <f t="shared" si="0"/>
        <v>65</v>
      </c>
      <c r="H18" s="7" t="s">
        <v>190</v>
      </c>
      <c r="I18" s="7" t="s">
        <v>1028</v>
      </c>
      <c r="J18" s="10"/>
      <c r="K18" s="10"/>
      <c r="L18" s="11"/>
      <c r="M18" s="10"/>
    </row>
    <row r="19" spans="1:13">
      <c r="A19" s="6">
        <v>46062</v>
      </c>
      <c r="B19" s="7" t="s">
        <v>935</v>
      </c>
      <c r="C19" s="7" t="s">
        <v>444</v>
      </c>
      <c r="D19" s="7" t="s">
        <v>1044</v>
      </c>
      <c r="E19" s="7">
        <v>1</v>
      </c>
      <c r="F19" s="7">
        <v>65</v>
      </c>
      <c r="G19" s="7">
        <f t="shared" si="0"/>
        <v>65</v>
      </c>
      <c r="H19" s="7" t="s">
        <v>190</v>
      </c>
      <c r="I19" s="7" t="s">
        <v>1028</v>
      </c>
      <c r="J19" s="10"/>
      <c r="K19" s="10"/>
      <c r="L19" s="11"/>
      <c r="M19" s="10"/>
    </row>
    <row r="20" spans="1:13">
      <c r="A20" s="6">
        <v>46062</v>
      </c>
      <c r="B20" s="7" t="s">
        <v>935</v>
      </c>
      <c r="C20" s="7" t="s">
        <v>444</v>
      </c>
      <c r="D20" s="7" t="s">
        <v>1045</v>
      </c>
      <c r="E20" s="7">
        <v>3</v>
      </c>
      <c r="F20" s="7">
        <v>65</v>
      </c>
      <c r="G20" s="7">
        <f t="shared" si="0"/>
        <v>195</v>
      </c>
      <c r="H20" s="7" t="s">
        <v>190</v>
      </c>
      <c r="I20" s="7" t="s">
        <v>1035</v>
      </c>
      <c r="J20" s="10"/>
      <c r="K20" s="10"/>
      <c r="L20" s="11"/>
      <c r="M20" s="10"/>
    </row>
    <row r="21" spans="1:13">
      <c r="A21" s="6">
        <v>46062</v>
      </c>
      <c r="B21" s="7" t="s">
        <v>935</v>
      </c>
      <c r="C21" s="7" t="s">
        <v>444</v>
      </c>
      <c r="D21" s="7" t="s">
        <v>1046</v>
      </c>
      <c r="E21" s="7">
        <v>4</v>
      </c>
      <c r="F21" s="7">
        <v>65</v>
      </c>
      <c r="G21" s="7">
        <f t="shared" si="0"/>
        <v>260</v>
      </c>
      <c r="H21" s="7" t="s">
        <v>190</v>
      </c>
      <c r="I21" s="7" t="s">
        <v>1025</v>
      </c>
      <c r="J21" s="10"/>
      <c r="K21" s="10"/>
      <c r="L21" s="11"/>
      <c r="M21" s="10"/>
    </row>
    <row r="22" spans="1:13">
      <c r="A22" s="6">
        <v>46062</v>
      </c>
      <c r="B22" s="7" t="s">
        <v>935</v>
      </c>
      <c r="C22" s="7" t="s">
        <v>444</v>
      </c>
      <c r="D22" s="7" t="s">
        <v>1047</v>
      </c>
      <c r="E22" s="7">
        <v>1</v>
      </c>
      <c r="F22" s="7">
        <v>65</v>
      </c>
      <c r="G22" s="7">
        <f t="shared" si="0"/>
        <v>65</v>
      </c>
      <c r="H22" s="7" t="s">
        <v>190</v>
      </c>
      <c r="I22" s="7" t="s">
        <v>1028</v>
      </c>
      <c r="J22" s="10"/>
      <c r="K22" s="10"/>
      <c r="L22" s="11"/>
      <c r="M22" s="10"/>
    </row>
    <row r="23" spans="1:13">
      <c r="A23" s="6">
        <v>46062</v>
      </c>
      <c r="B23" s="7" t="s">
        <v>935</v>
      </c>
      <c r="C23" s="7" t="s">
        <v>444</v>
      </c>
      <c r="D23" s="7" t="s">
        <v>1048</v>
      </c>
      <c r="E23" s="7">
        <v>9</v>
      </c>
      <c r="F23" s="7">
        <v>65</v>
      </c>
      <c r="G23" s="7">
        <f t="shared" si="0"/>
        <v>585</v>
      </c>
      <c r="H23" s="7" t="s">
        <v>190</v>
      </c>
      <c r="I23" s="7" t="s">
        <v>1035</v>
      </c>
      <c r="J23" s="10"/>
      <c r="K23" s="10"/>
      <c r="L23" s="11"/>
      <c r="M23" s="10"/>
    </row>
    <row r="24" spans="1:13">
      <c r="A24" s="6">
        <v>46062</v>
      </c>
      <c r="B24" s="7" t="s">
        <v>935</v>
      </c>
      <c r="C24" s="7" t="s">
        <v>444</v>
      </c>
      <c r="D24" s="7" t="s">
        <v>1049</v>
      </c>
      <c r="E24" s="7">
        <v>25</v>
      </c>
      <c r="F24" s="7">
        <v>65</v>
      </c>
      <c r="G24" s="7">
        <f t="shared" si="0"/>
        <v>1625</v>
      </c>
      <c r="H24" s="7" t="s">
        <v>190</v>
      </c>
      <c r="I24" s="7" t="s">
        <v>1035</v>
      </c>
      <c r="J24" s="10"/>
      <c r="K24" s="10"/>
      <c r="L24" s="11"/>
      <c r="M24" s="10"/>
    </row>
    <row r="25" spans="1:13">
      <c r="A25" s="6">
        <v>46062</v>
      </c>
      <c r="B25" s="7" t="s">
        <v>935</v>
      </c>
      <c r="C25" s="7" t="s">
        <v>444</v>
      </c>
      <c r="D25" s="7" t="s">
        <v>1050</v>
      </c>
      <c r="E25" s="7">
        <v>40</v>
      </c>
      <c r="F25" s="7">
        <v>65</v>
      </c>
      <c r="G25" s="7">
        <f t="shared" si="0"/>
        <v>2600</v>
      </c>
      <c r="H25" s="7" t="s">
        <v>190</v>
      </c>
      <c r="I25" s="7" t="s">
        <v>1028</v>
      </c>
      <c r="J25" s="10"/>
      <c r="K25" s="10"/>
      <c r="L25" s="11"/>
      <c r="M25" s="10"/>
    </row>
    <row r="26" spans="1:13">
      <c r="A26" s="6">
        <v>46062</v>
      </c>
      <c r="B26" s="7" t="s">
        <v>935</v>
      </c>
      <c r="C26" s="7" t="s">
        <v>444</v>
      </c>
      <c r="D26" s="7" t="s">
        <v>1051</v>
      </c>
      <c r="E26" s="7">
        <v>1</v>
      </c>
      <c r="F26" s="7">
        <v>65</v>
      </c>
      <c r="G26" s="7">
        <f t="shared" si="0"/>
        <v>65</v>
      </c>
      <c r="H26" s="7" t="s">
        <v>190</v>
      </c>
      <c r="I26" s="7" t="s">
        <v>1028</v>
      </c>
      <c r="J26" s="10"/>
      <c r="K26" s="10"/>
      <c r="L26" s="11"/>
      <c r="M26" s="10"/>
    </row>
    <row r="27" spans="1:13">
      <c r="A27" s="6">
        <v>46062</v>
      </c>
      <c r="B27" s="7" t="s">
        <v>935</v>
      </c>
      <c r="C27" s="7" t="s">
        <v>444</v>
      </c>
      <c r="D27" s="7" t="s">
        <v>1052</v>
      </c>
      <c r="E27" s="7">
        <v>4</v>
      </c>
      <c r="F27" s="7">
        <v>65</v>
      </c>
      <c r="G27" s="7">
        <f t="shared" si="0"/>
        <v>260</v>
      </c>
      <c r="H27" s="7" t="s">
        <v>190</v>
      </c>
      <c r="I27" s="7" t="s">
        <v>1028</v>
      </c>
      <c r="J27" s="10"/>
      <c r="K27" s="10"/>
      <c r="L27" s="11"/>
      <c r="M27" s="10"/>
    </row>
    <row r="28" spans="1:13">
      <c r="A28" s="6">
        <v>46062</v>
      </c>
      <c r="B28" s="7" t="s">
        <v>935</v>
      </c>
      <c r="C28" s="7" t="s">
        <v>444</v>
      </c>
      <c r="D28" s="7" t="s">
        <v>1053</v>
      </c>
      <c r="E28" s="7">
        <v>8</v>
      </c>
      <c r="F28" s="7">
        <v>65</v>
      </c>
      <c r="G28" s="7">
        <f t="shared" si="0"/>
        <v>520</v>
      </c>
      <c r="H28" s="7" t="s">
        <v>190</v>
      </c>
      <c r="I28" s="7" t="s">
        <v>1054</v>
      </c>
      <c r="J28" s="10"/>
      <c r="K28" s="10"/>
      <c r="L28" s="11"/>
      <c r="M28" s="10"/>
    </row>
    <row r="29" spans="1:13">
      <c r="A29" s="6">
        <v>46062</v>
      </c>
      <c r="B29" s="7" t="s">
        <v>935</v>
      </c>
      <c r="C29" s="7" t="s">
        <v>444</v>
      </c>
      <c r="D29" s="7" t="s">
        <v>1055</v>
      </c>
      <c r="E29" s="7">
        <v>7</v>
      </c>
      <c r="F29" s="7">
        <v>65</v>
      </c>
      <c r="G29" s="7">
        <f t="shared" si="0"/>
        <v>455</v>
      </c>
      <c r="H29" s="7" t="s">
        <v>190</v>
      </c>
      <c r="I29" s="7" t="s">
        <v>1035</v>
      </c>
      <c r="J29" s="12"/>
      <c r="K29" s="12"/>
      <c r="L29" s="13"/>
      <c r="M29" s="12"/>
    </row>
    <row r="30" spans="1:13">
      <c r="A30" s="6">
        <v>46062</v>
      </c>
      <c r="B30" s="7" t="s">
        <v>935</v>
      </c>
      <c r="C30" s="14" t="s">
        <v>444</v>
      </c>
      <c r="D30" s="14" t="s">
        <v>1056</v>
      </c>
      <c r="E30" s="7">
        <v>9</v>
      </c>
      <c r="F30" s="7">
        <v>65</v>
      </c>
      <c r="G30" s="7">
        <f t="shared" si="0"/>
        <v>585</v>
      </c>
      <c r="H30" s="7" t="s">
        <v>190</v>
      </c>
      <c r="I30" s="7" t="s">
        <v>1054</v>
      </c>
      <c r="J30" s="14" t="s">
        <v>176</v>
      </c>
      <c r="K30" s="7"/>
      <c r="L30" s="7"/>
      <c r="M30" s="7"/>
    </row>
    <row r="31" spans="1:13">
      <c r="A31" s="6">
        <v>46062</v>
      </c>
      <c r="B31" s="7" t="s">
        <v>935</v>
      </c>
      <c r="C31" s="7" t="s">
        <v>1057</v>
      </c>
      <c r="D31" s="7" t="s">
        <v>1058</v>
      </c>
      <c r="E31" s="7">
        <v>32</v>
      </c>
      <c r="F31" s="7">
        <v>65</v>
      </c>
      <c r="G31" s="7">
        <f t="shared" si="0"/>
        <v>2080</v>
      </c>
      <c r="H31" s="7" t="s">
        <v>190</v>
      </c>
      <c r="I31" s="7" t="s">
        <v>1059</v>
      </c>
      <c r="J31" s="15" t="s">
        <v>162</v>
      </c>
      <c r="K31" s="7"/>
      <c r="L31" s="7"/>
      <c r="M31" s="7"/>
    </row>
    <row r="32" spans="1:13">
      <c r="A32" s="6">
        <v>46062</v>
      </c>
      <c r="B32" s="7" t="s">
        <v>935</v>
      </c>
      <c r="C32" s="14" t="s">
        <v>451</v>
      </c>
      <c r="D32" s="14" t="s">
        <v>1060</v>
      </c>
      <c r="E32" s="7">
        <v>2</v>
      </c>
      <c r="F32" s="7">
        <v>65</v>
      </c>
      <c r="G32" s="7">
        <f t="shared" si="0"/>
        <v>130</v>
      </c>
      <c r="H32" s="7" t="s">
        <v>190</v>
      </c>
      <c r="I32" s="7" t="s">
        <v>1061</v>
      </c>
      <c r="J32" s="14" t="s">
        <v>176</v>
      </c>
      <c r="K32" s="7"/>
      <c r="L32" s="7"/>
      <c r="M32" s="7"/>
    </row>
    <row r="33" spans="1:13">
      <c r="A33" s="6">
        <v>46062</v>
      </c>
      <c r="B33" s="7" t="s">
        <v>935</v>
      </c>
      <c r="C33" s="7"/>
      <c r="D33" s="7"/>
      <c r="E33" s="7"/>
      <c r="F33" s="7">
        <v>65</v>
      </c>
      <c r="G33" s="7">
        <f t="shared" si="0"/>
        <v>0</v>
      </c>
      <c r="H33" s="7"/>
      <c r="I33" s="7"/>
      <c r="J33" s="7"/>
      <c r="K33" s="7"/>
      <c r="L33" s="7"/>
      <c r="M33" s="7"/>
    </row>
    <row r="34" spans="1:13">
      <c r="A34" s="6">
        <v>46062</v>
      </c>
      <c r="B34" s="7" t="s">
        <v>935</v>
      </c>
      <c r="C34" s="7" t="s">
        <v>466</v>
      </c>
      <c r="D34" s="7" t="s">
        <v>1062</v>
      </c>
      <c r="E34" s="7">
        <v>1</v>
      </c>
      <c r="F34" s="7">
        <v>65</v>
      </c>
      <c r="G34" s="7">
        <f t="shared" si="0"/>
        <v>65</v>
      </c>
      <c r="H34" s="7" t="s">
        <v>190</v>
      </c>
      <c r="I34" s="7" t="s">
        <v>77</v>
      </c>
      <c r="J34" s="8"/>
      <c r="K34" s="8"/>
      <c r="L34" s="16" t="s">
        <v>228</v>
      </c>
      <c r="M34" s="8"/>
    </row>
    <row r="35" spans="1:13">
      <c r="A35" s="6">
        <v>46062</v>
      </c>
      <c r="B35" s="7" t="s">
        <v>935</v>
      </c>
      <c r="C35" s="7" t="s">
        <v>466</v>
      </c>
      <c r="D35" s="7" t="s">
        <v>1063</v>
      </c>
      <c r="E35" s="7">
        <v>6</v>
      </c>
      <c r="F35" s="7">
        <v>65</v>
      </c>
      <c r="G35" s="7">
        <f t="shared" ref="G35:G66" si="1">E35*F35</f>
        <v>390</v>
      </c>
      <c r="H35" s="7" t="s">
        <v>190</v>
      </c>
      <c r="I35" s="7" t="s">
        <v>77</v>
      </c>
      <c r="J35" s="10"/>
      <c r="K35" s="10"/>
      <c r="L35" s="11"/>
      <c r="M35" s="10"/>
    </row>
    <row r="36" spans="1:13">
      <c r="A36" s="6">
        <v>46062</v>
      </c>
      <c r="B36" s="7" t="s">
        <v>935</v>
      </c>
      <c r="C36" s="7" t="s">
        <v>466</v>
      </c>
      <c r="D36" s="7" t="s">
        <v>1064</v>
      </c>
      <c r="E36" s="7">
        <v>1</v>
      </c>
      <c r="F36" s="7">
        <v>65</v>
      </c>
      <c r="G36" s="7">
        <f t="shared" si="1"/>
        <v>65</v>
      </c>
      <c r="H36" s="7" t="s">
        <v>190</v>
      </c>
      <c r="I36" s="7" t="s">
        <v>77</v>
      </c>
      <c r="J36" s="10"/>
      <c r="K36" s="10"/>
      <c r="L36" s="11"/>
      <c r="M36" s="10"/>
    </row>
    <row r="37" spans="1:13">
      <c r="A37" s="6">
        <v>46062</v>
      </c>
      <c r="B37" s="7" t="s">
        <v>935</v>
      </c>
      <c r="C37" s="7" t="s">
        <v>466</v>
      </c>
      <c r="D37" s="7" t="s">
        <v>1065</v>
      </c>
      <c r="E37" s="7">
        <v>22</v>
      </c>
      <c r="F37" s="7">
        <v>65</v>
      </c>
      <c r="G37" s="7">
        <f t="shared" si="1"/>
        <v>1430</v>
      </c>
      <c r="H37" s="7" t="s">
        <v>190</v>
      </c>
      <c r="I37" s="7" t="s">
        <v>1066</v>
      </c>
      <c r="J37" s="10"/>
      <c r="K37" s="10"/>
      <c r="L37" s="11"/>
      <c r="M37" s="10"/>
    </row>
    <row r="38" spans="1:13">
      <c r="A38" s="6">
        <v>46062</v>
      </c>
      <c r="B38" s="7" t="s">
        <v>935</v>
      </c>
      <c r="C38" s="7" t="s">
        <v>466</v>
      </c>
      <c r="D38" s="7" t="s">
        <v>1067</v>
      </c>
      <c r="E38" s="7">
        <v>2</v>
      </c>
      <c r="F38" s="7">
        <v>65</v>
      </c>
      <c r="G38" s="7">
        <f t="shared" si="1"/>
        <v>130</v>
      </c>
      <c r="H38" s="7" t="s">
        <v>190</v>
      </c>
      <c r="I38" s="7" t="s">
        <v>310</v>
      </c>
      <c r="J38" s="10"/>
      <c r="K38" s="10"/>
      <c r="L38" s="11"/>
      <c r="M38" s="10"/>
    </row>
    <row r="39" spans="1:13">
      <c r="A39" s="6">
        <v>46062</v>
      </c>
      <c r="B39" s="7" t="s">
        <v>935</v>
      </c>
      <c r="C39" s="7" t="s">
        <v>466</v>
      </c>
      <c r="D39" s="7" t="s">
        <v>1068</v>
      </c>
      <c r="E39" s="7">
        <v>33</v>
      </c>
      <c r="F39" s="7">
        <v>65</v>
      </c>
      <c r="G39" s="7">
        <f t="shared" si="1"/>
        <v>2145</v>
      </c>
      <c r="H39" s="7" t="s">
        <v>190</v>
      </c>
      <c r="I39" s="7" t="s">
        <v>700</v>
      </c>
      <c r="J39" s="10"/>
      <c r="K39" s="10"/>
      <c r="L39" s="11"/>
      <c r="M39" s="10"/>
    </row>
    <row r="40" spans="1:13">
      <c r="A40" s="6">
        <v>46062</v>
      </c>
      <c r="B40" s="7" t="s">
        <v>935</v>
      </c>
      <c r="C40" s="7" t="s">
        <v>466</v>
      </c>
      <c r="D40" s="7" t="s">
        <v>1069</v>
      </c>
      <c r="E40" s="7">
        <v>32</v>
      </c>
      <c r="F40" s="7">
        <v>65</v>
      </c>
      <c r="G40" s="7">
        <f t="shared" si="1"/>
        <v>2080</v>
      </c>
      <c r="H40" s="7" t="s">
        <v>190</v>
      </c>
      <c r="I40" s="7" t="s">
        <v>1028</v>
      </c>
      <c r="J40" s="12"/>
      <c r="K40" s="12"/>
      <c r="L40" s="13"/>
      <c r="M40" s="12"/>
    </row>
    <row r="41" spans="1:13">
      <c r="A41" s="6">
        <v>46062</v>
      </c>
      <c r="B41" s="7" t="s">
        <v>935</v>
      </c>
      <c r="C41" s="14" t="s">
        <v>466</v>
      </c>
      <c r="D41" s="14" t="s">
        <v>1070</v>
      </c>
      <c r="E41" s="7">
        <v>4</v>
      </c>
      <c r="F41" s="7">
        <v>65</v>
      </c>
      <c r="G41" s="7">
        <f t="shared" si="1"/>
        <v>260</v>
      </c>
      <c r="H41" s="7" t="s">
        <v>190</v>
      </c>
      <c r="I41" s="7" t="s">
        <v>700</v>
      </c>
      <c r="J41" s="7" t="s">
        <v>176</v>
      </c>
      <c r="K41" s="7"/>
      <c r="L41" s="7"/>
      <c r="M41" s="7"/>
    </row>
    <row r="42" spans="1:13">
      <c r="A42" s="6">
        <v>46062</v>
      </c>
      <c r="B42" s="7" t="s">
        <v>935</v>
      </c>
      <c r="C42" s="7" t="s">
        <v>466</v>
      </c>
      <c r="D42" s="7" t="s">
        <v>1071</v>
      </c>
      <c r="E42" s="7">
        <v>3</v>
      </c>
      <c r="F42" s="7">
        <v>65</v>
      </c>
      <c r="G42" s="7">
        <f t="shared" si="1"/>
        <v>195</v>
      </c>
      <c r="H42" s="7" t="s">
        <v>190</v>
      </c>
      <c r="I42" s="7" t="s">
        <v>1072</v>
      </c>
      <c r="J42" s="7"/>
      <c r="K42" s="7"/>
      <c r="L42" s="7"/>
      <c r="M42" s="7"/>
    </row>
    <row r="43" spans="1:13">
      <c r="A43" s="6">
        <v>46062</v>
      </c>
      <c r="B43" s="7" t="s">
        <v>935</v>
      </c>
      <c r="C43" s="14" t="s">
        <v>466</v>
      </c>
      <c r="D43" s="14" t="s">
        <v>1073</v>
      </c>
      <c r="E43" s="7">
        <v>5</v>
      </c>
      <c r="F43" s="7">
        <v>65</v>
      </c>
      <c r="G43" s="7">
        <f t="shared" si="1"/>
        <v>325</v>
      </c>
      <c r="H43" s="7" t="s">
        <v>190</v>
      </c>
      <c r="I43" s="7" t="s">
        <v>558</v>
      </c>
      <c r="J43" s="7" t="s">
        <v>176</v>
      </c>
      <c r="K43" s="7"/>
      <c r="L43" s="7"/>
      <c r="M43" s="7"/>
    </row>
    <row r="44" spans="1:13">
      <c r="A44" s="6">
        <v>46062</v>
      </c>
      <c r="B44" s="7" t="s">
        <v>935</v>
      </c>
      <c r="C44" s="7" t="s">
        <v>466</v>
      </c>
      <c r="D44" s="7" t="s">
        <v>1074</v>
      </c>
      <c r="E44" s="7">
        <v>1</v>
      </c>
      <c r="F44" s="7">
        <v>65</v>
      </c>
      <c r="G44" s="7">
        <f t="shared" si="1"/>
        <v>65</v>
      </c>
      <c r="H44" s="7" t="s">
        <v>190</v>
      </c>
      <c r="I44" s="7" t="s">
        <v>1075</v>
      </c>
      <c r="J44" s="8"/>
      <c r="K44" s="8"/>
      <c r="L44" s="8" t="s">
        <v>228</v>
      </c>
      <c r="M44" s="8"/>
    </row>
    <row r="45" spans="1:13">
      <c r="A45" s="6">
        <v>46062</v>
      </c>
      <c r="B45" s="7" t="s">
        <v>935</v>
      </c>
      <c r="C45" s="7" t="s">
        <v>466</v>
      </c>
      <c r="D45" s="7" t="s">
        <v>1076</v>
      </c>
      <c r="E45" s="7">
        <v>1</v>
      </c>
      <c r="F45" s="7">
        <v>65</v>
      </c>
      <c r="G45" s="7">
        <f t="shared" si="1"/>
        <v>65</v>
      </c>
      <c r="H45" s="7" t="s">
        <v>190</v>
      </c>
      <c r="I45" s="7" t="s">
        <v>558</v>
      </c>
      <c r="J45" s="10"/>
      <c r="K45" s="10"/>
      <c r="L45" s="10"/>
      <c r="M45" s="10"/>
    </row>
    <row r="46" spans="1:13">
      <c r="A46" s="6">
        <v>46062</v>
      </c>
      <c r="B46" s="7" t="s">
        <v>935</v>
      </c>
      <c r="C46" s="7" t="s">
        <v>466</v>
      </c>
      <c r="D46" s="7" t="s">
        <v>1077</v>
      </c>
      <c r="E46" s="7">
        <v>1</v>
      </c>
      <c r="F46" s="7">
        <v>65</v>
      </c>
      <c r="G46" s="7">
        <f t="shared" si="1"/>
        <v>65</v>
      </c>
      <c r="H46" s="7" t="s">
        <v>190</v>
      </c>
      <c r="I46" s="7" t="s">
        <v>1072</v>
      </c>
      <c r="J46" s="10"/>
      <c r="K46" s="10"/>
      <c r="L46" s="10"/>
      <c r="M46" s="10"/>
    </row>
    <row r="47" spans="1:13">
      <c r="A47" s="6">
        <v>46062</v>
      </c>
      <c r="B47" s="7" t="s">
        <v>935</v>
      </c>
      <c r="C47" s="7" t="s">
        <v>466</v>
      </c>
      <c r="D47" s="7" t="s">
        <v>1078</v>
      </c>
      <c r="E47" s="7">
        <v>2</v>
      </c>
      <c r="F47" s="7">
        <v>65</v>
      </c>
      <c r="G47" s="7">
        <f t="shared" si="1"/>
        <v>130</v>
      </c>
      <c r="H47" s="7" t="s">
        <v>190</v>
      </c>
      <c r="I47" s="7" t="s">
        <v>558</v>
      </c>
      <c r="J47" s="10"/>
      <c r="K47" s="10"/>
      <c r="L47" s="10"/>
      <c r="M47" s="10"/>
    </row>
    <row r="48" spans="1:13">
      <c r="A48" s="6">
        <v>46062</v>
      </c>
      <c r="B48" s="7" t="s">
        <v>935</v>
      </c>
      <c r="C48" s="7" t="s">
        <v>466</v>
      </c>
      <c r="D48" s="7" t="s">
        <v>1079</v>
      </c>
      <c r="E48" s="7">
        <v>1</v>
      </c>
      <c r="F48" s="7">
        <v>65</v>
      </c>
      <c r="G48" s="7">
        <f t="shared" si="1"/>
        <v>65</v>
      </c>
      <c r="H48" s="7" t="s">
        <v>190</v>
      </c>
      <c r="I48" s="7" t="s">
        <v>558</v>
      </c>
      <c r="J48" s="10"/>
      <c r="K48" s="10"/>
      <c r="L48" s="10"/>
      <c r="M48" s="10"/>
    </row>
    <row r="49" spans="1:13">
      <c r="A49" s="6">
        <v>46062</v>
      </c>
      <c r="B49" s="7" t="s">
        <v>935</v>
      </c>
      <c r="C49" s="7" t="s">
        <v>466</v>
      </c>
      <c r="D49" s="7" t="s">
        <v>1080</v>
      </c>
      <c r="E49" s="7">
        <v>2</v>
      </c>
      <c r="F49" s="7">
        <v>65</v>
      </c>
      <c r="G49" s="7">
        <f t="shared" si="1"/>
        <v>130</v>
      </c>
      <c r="H49" s="7" t="s">
        <v>190</v>
      </c>
      <c r="I49" s="7" t="s">
        <v>558</v>
      </c>
      <c r="J49" s="10"/>
      <c r="K49" s="10"/>
      <c r="L49" s="10"/>
      <c r="M49" s="10"/>
    </row>
    <row r="50" spans="1:13">
      <c r="A50" s="6">
        <v>46062</v>
      </c>
      <c r="B50" s="7" t="s">
        <v>935</v>
      </c>
      <c r="C50" s="7" t="s">
        <v>466</v>
      </c>
      <c r="D50" s="7" t="s">
        <v>1081</v>
      </c>
      <c r="E50" s="7">
        <v>5</v>
      </c>
      <c r="F50" s="7">
        <v>65</v>
      </c>
      <c r="G50" s="7">
        <f t="shared" si="1"/>
        <v>325</v>
      </c>
      <c r="H50" s="7" t="s">
        <v>190</v>
      </c>
      <c r="I50" s="7" t="s">
        <v>558</v>
      </c>
      <c r="J50" s="10"/>
      <c r="K50" s="10"/>
      <c r="L50" s="10"/>
      <c r="M50" s="10"/>
    </row>
    <row r="51" spans="1:13">
      <c r="A51" s="6">
        <v>46062</v>
      </c>
      <c r="B51" s="7" t="s">
        <v>935</v>
      </c>
      <c r="C51" s="7" t="s">
        <v>466</v>
      </c>
      <c r="D51" s="7" t="s">
        <v>1082</v>
      </c>
      <c r="E51" s="7">
        <v>1</v>
      </c>
      <c r="F51" s="7">
        <v>65</v>
      </c>
      <c r="G51" s="7">
        <f t="shared" si="1"/>
        <v>65</v>
      </c>
      <c r="H51" s="7" t="s">
        <v>190</v>
      </c>
      <c r="I51" s="7" t="s">
        <v>1083</v>
      </c>
      <c r="J51" s="10"/>
      <c r="K51" s="10"/>
      <c r="L51" s="10"/>
      <c r="M51" s="10"/>
    </row>
    <row r="52" spans="1:13">
      <c r="A52" s="6">
        <v>46062</v>
      </c>
      <c r="B52" s="7" t="s">
        <v>935</v>
      </c>
      <c r="C52" s="7" t="s">
        <v>466</v>
      </c>
      <c r="D52" s="7" t="s">
        <v>1084</v>
      </c>
      <c r="E52" s="7">
        <v>3</v>
      </c>
      <c r="F52" s="7">
        <v>65</v>
      </c>
      <c r="G52" s="7">
        <f t="shared" si="1"/>
        <v>195</v>
      </c>
      <c r="H52" s="7" t="s">
        <v>190</v>
      </c>
      <c r="I52" s="7" t="s">
        <v>1083</v>
      </c>
      <c r="J52" s="10"/>
      <c r="K52" s="10"/>
      <c r="L52" s="10"/>
      <c r="M52" s="10"/>
    </row>
    <row r="53" spans="1:13">
      <c r="A53" s="6">
        <v>46062</v>
      </c>
      <c r="B53" s="7" t="s">
        <v>935</v>
      </c>
      <c r="C53" s="7" t="s">
        <v>466</v>
      </c>
      <c r="D53" s="7" t="s">
        <v>1085</v>
      </c>
      <c r="E53" s="7">
        <v>4</v>
      </c>
      <c r="F53" s="7">
        <v>65</v>
      </c>
      <c r="G53" s="7">
        <f t="shared" si="1"/>
        <v>260</v>
      </c>
      <c r="H53" s="7" t="s">
        <v>190</v>
      </c>
      <c r="I53" s="7" t="s">
        <v>1083</v>
      </c>
      <c r="J53" s="12"/>
      <c r="K53" s="12"/>
      <c r="L53" s="12"/>
      <c r="M53" s="12"/>
    </row>
    <row r="54" spans="1:13">
      <c r="A54" s="6">
        <v>46062</v>
      </c>
      <c r="B54" s="7" t="s">
        <v>935</v>
      </c>
      <c r="C54" s="14" t="s">
        <v>466</v>
      </c>
      <c r="D54" s="14" t="s">
        <v>1086</v>
      </c>
      <c r="E54" s="7">
        <v>21</v>
      </c>
      <c r="F54" s="7">
        <v>65</v>
      </c>
      <c r="G54" s="7">
        <f t="shared" si="1"/>
        <v>1365</v>
      </c>
      <c r="H54" s="7" t="s">
        <v>190</v>
      </c>
      <c r="I54" s="7" t="s">
        <v>558</v>
      </c>
      <c r="J54" s="7" t="s">
        <v>176</v>
      </c>
      <c r="K54" s="7"/>
      <c r="L54" s="7"/>
      <c r="M54" s="7"/>
    </row>
    <row r="55" spans="1:13">
      <c r="A55" s="6">
        <v>46062</v>
      </c>
      <c r="B55" s="7" t="s">
        <v>935</v>
      </c>
      <c r="C55" s="7" t="s">
        <v>466</v>
      </c>
      <c r="D55" s="7" t="s">
        <v>1087</v>
      </c>
      <c r="E55" s="7">
        <v>1</v>
      </c>
      <c r="F55" s="7">
        <v>65</v>
      </c>
      <c r="G55" s="7">
        <f t="shared" si="1"/>
        <v>65</v>
      </c>
      <c r="H55" s="7" t="s">
        <v>190</v>
      </c>
      <c r="I55" s="7" t="s">
        <v>749</v>
      </c>
      <c r="J55" s="8"/>
      <c r="K55" s="8"/>
      <c r="L55" s="8" t="s">
        <v>228</v>
      </c>
      <c r="M55" s="8"/>
    </row>
    <row r="56" spans="1:13">
      <c r="A56" s="6">
        <v>46062</v>
      </c>
      <c r="B56" s="7" t="s">
        <v>935</v>
      </c>
      <c r="C56" s="7" t="s">
        <v>466</v>
      </c>
      <c r="D56" s="7" t="s">
        <v>1088</v>
      </c>
      <c r="E56" s="7">
        <v>1</v>
      </c>
      <c r="F56" s="7">
        <v>65</v>
      </c>
      <c r="G56" s="7">
        <f t="shared" si="1"/>
        <v>65</v>
      </c>
      <c r="H56" s="7" t="s">
        <v>190</v>
      </c>
      <c r="I56" s="7" t="s">
        <v>77</v>
      </c>
      <c r="J56" s="10"/>
      <c r="K56" s="10"/>
      <c r="L56" s="10"/>
      <c r="M56" s="10"/>
    </row>
    <row r="57" spans="1:13">
      <c r="A57" s="6">
        <v>46062</v>
      </c>
      <c r="B57" s="7" t="s">
        <v>935</v>
      </c>
      <c r="C57" s="7" t="s">
        <v>466</v>
      </c>
      <c r="D57" s="7" t="s">
        <v>1089</v>
      </c>
      <c r="E57" s="7">
        <v>1</v>
      </c>
      <c r="F57" s="7">
        <v>65</v>
      </c>
      <c r="G57" s="7">
        <f t="shared" si="1"/>
        <v>65</v>
      </c>
      <c r="H57" s="7" t="s">
        <v>190</v>
      </c>
      <c r="I57" s="7" t="s">
        <v>77</v>
      </c>
      <c r="J57" s="12"/>
      <c r="K57" s="12"/>
      <c r="L57" s="12"/>
      <c r="M57" s="12"/>
    </row>
    <row r="58" spans="1:13">
      <c r="A58" s="6">
        <v>46062</v>
      </c>
      <c r="B58" s="7" t="s">
        <v>935</v>
      </c>
      <c r="C58" s="14" t="s">
        <v>466</v>
      </c>
      <c r="D58" s="14" t="s">
        <v>1090</v>
      </c>
      <c r="E58" s="7">
        <v>32</v>
      </c>
      <c r="F58" s="7">
        <v>65</v>
      </c>
      <c r="G58" s="7">
        <f t="shared" si="1"/>
        <v>2080</v>
      </c>
      <c r="H58" s="7" t="s">
        <v>190</v>
      </c>
      <c r="I58" s="7" t="s">
        <v>558</v>
      </c>
      <c r="J58" s="7" t="s">
        <v>176</v>
      </c>
      <c r="K58" s="7"/>
      <c r="L58" s="7"/>
      <c r="M58" s="7"/>
    </row>
    <row r="59" spans="1:13">
      <c r="A59" s="6">
        <v>46062</v>
      </c>
      <c r="B59" s="7" t="s">
        <v>935</v>
      </c>
      <c r="C59" s="14" t="s">
        <v>466</v>
      </c>
      <c r="D59" s="14" t="s">
        <v>1091</v>
      </c>
      <c r="E59" s="7">
        <v>2</v>
      </c>
      <c r="F59" s="7">
        <v>65</v>
      </c>
      <c r="G59" s="7">
        <f t="shared" si="1"/>
        <v>130</v>
      </c>
      <c r="H59" s="7" t="s">
        <v>190</v>
      </c>
      <c r="I59" s="7" t="s">
        <v>558</v>
      </c>
      <c r="J59" s="7" t="s">
        <v>176</v>
      </c>
      <c r="K59" s="7"/>
      <c r="L59" s="7"/>
      <c r="M59" s="7"/>
    </row>
    <row r="60" spans="1:13">
      <c r="A60" s="6">
        <v>46062</v>
      </c>
      <c r="B60" s="7" t="s">
        <v>935</v>
      </c>
      <c r="C60" s="7" t="s">
        <v>466</v>
      </c>
      <c r="D60" s="7" t="s">
        <v>1092</v>
      </c>
      <c r="E60" s="7">
        <v>5</v>
      </c>
      <c r="F60" s="7">
        <v>65</v>
      </c>
      <c r="G60" s="7">
        <f t="shared" si="1"/>
        <v>325</v>
      </c>
      <c r="H60" s="7" t="s">
        <v>190</v>
      </c>
      <c r="I60" s="7" t="s">
        <v>558</v>
      </c>
      <c r="J60" s="7"/>
      <c r="K60" s="7"/>
      <c r="L60" s="8" t="s">
        <v>228</v>
      </c>
      <c r="M60" s="7"/>
    </row>
    <row r="61" spans="1:13">
      <c r="A61" s="6">
        <v>46062</v>
      </c>
      <c r="B61" s="7" t="s">
        <v>935</v>
      </c>
      <c r="C61" s="7"/>
      <c r="D61" s="7"/>
      <c r="E61" s="7"/>
      <c r="F61" s="7">
        <v>65</v>
      </c>
      <c r="G61" s="7">
        <f t="shared" si="1"/>
        <v>0</v>
      </c>
      <c r="H61" s="7"/>
      <c r="I61" s="7"/>
      <c r="J61" s="7"/>
      <c r="K61" s="7"/>
      <c r="L61" s="12"/>
      <c r="M61" s="7"/>
    </row>
    <row r="62" spans="1:13">
      <c r="A62" s="6">
        <v>46062</v>
      </c>
      <c r="B62" s="7" t="s">
        <v>935</v>
      </c>
      <c r="C62" s="14" t="s">
        <v>550</v>
      </c>
      <c r="D62" s="14" t="s">
        <v>1093</v>
      </c>
      <c r="E62" s="7">
        <v>3</v>
      </c>
      <c r="F62" s="7">
        <v>65</v>
      </c>
      <c r="G62" s="7">
        <f t="shared" si="1"/>
        <v>195</v>
      </c>
      <c r="H62" s="7" t="s">
        <v>190</v>
      </c>
      <c r="I62" s="7" t="s">
        <v>1094</v>
      </c>
      <c r="J62" s="14" t="s">
        <v>176</v>
      </c>
      <c r="K62" s="7"/>
      <c r="L62" s="7"/>
      <c r="M62" s="7"/>
    </row>
    <row r="63" spans="1:13">
      <c r="A63" s="6">
        <v>46062</v>
      </c>
      <c r="B63" s="7" t="s">
        <v>935</v>
      </c>
      <c r="C63" s="7" t="s">
        <v>550</v>
      </c>
      <c r="D63" s="7" t="s">
        <v>1095</v>
      </c>
      <c r="E63" s="7">
        <v>2</v>
      </c>
      <c r="F63" s="7">
        <v>65</v>
      </c>
      <c r="G63" s="7">
        <f t="shared" si="1"/>
        <v>130</v>
      </c>
      <c r="H63" s="7" t="s">
        <v>190</v>
      </c>
      <c r="I63" s="7" t="s">
        <v>774</v>
      </c>
      <c r="J63" s="7"/>
      <c r="K63" s="7"/>
      <c r="L63" s="7"/>
      <c r="M63" s="7"/>
    </row>
    <row r="64" spans="1:13">
      <c r="A64" s="6">
        <v>46062</v>
      </c>
      <c r="B64" s="7" t="s">
        <v>935</v>
      </c>
      <c r="C64" s="14" t="s">
        <v>550</v>
      </c>
      <c r="D64" s="14" t="s">
        <v>1096</v>
      </c>
      <c r="E64" s="7">
        <v>34</v>
      </c>
      <c r="F64" s="7">
        <v>65</v>
      </c>
      <c r="G64" s="7">
        <f t="shared" si="1"/>
        <v>2210</v>
      </c>
      <c r="H64" s="7" t="s">
        <v>190</v>
      </c>
      <c r="I64" s="7" t="s">
        <v>1097</v>
      </c>
      <c r="J64" s="14" t="s">
        <v>176</v>
      </c>
      <c r="K64" s="7"/>
      <c r="L64" s="7"/>
      <c r="M64" s="7"/>
    </row>
    <row r="65" spans="1:13">
      <c r="A65" s="6">
        <v>46062</v>
      </c>
      <c r="B65" s="7" t="s">
        <v>935</v>
      </c>
      <c r="C65" s="7" t="s">
        <v>550</v>
      </c>
      <c r="D65" s="7" t="s">
        <v>1098</v>
      </c>
      <c r="E65" s="7">
        <v>1</v>
      </c>
      <c r="F65" s="7">
        <v>65</v>
      </c>
      <c r="G65" s="7">
        <f t="shared" si="1"/>
        <v>65</v>
      </c>
      <c r="H65" s="7" t="s">
        <v>190</v>
      </c>
      <c r="I65" s="7" t="s">
        <v>1099</v>
      </c>
      <c r="J65" s="7"/>
      <c r="K65" s="7"/>
      <c r="L65" s="8" t="s">
        <v>228</v>
      </c>
      <c r="M65" s="7"/>
    </row>
    <row r="66" spans="1:13">
      <c r="A66" s="6">
        <v>46062</v>
      </c>
      <c r="B66" s="7" t="s">
        <v>935</v>
      </c>
      <c r="C66" s="7" t="s">
        <v>550</v>
      </c>
      <c r="D66" s="7" t="s">
        <v>1100</v>
      </c>
      <c r="E66" s="7">
        <v>7</v>
      </c>
      <c r="F66" s="7">
        <v>65</v>
      </c>
      <c r="G66" s="7">
        <f t="shared" si="1"/>
        <v>455</v>
      </c>
      <c r="H66" s="7" t="s">
        <v>190</v>
      </c>
      <c r="I66" s="7" t="s">
        <v>1101</v>
      </c>
      <c r="J66" s="7"/>
      <c r="K66" s="7"/>
      <c r="L66" s="12"/>
      <c r="M66" s="7"/>
    </row>
    <row r="67" spans="1:13">
      <c r="A67" s="6">
        <v>46062</v>
      </c>
      <c r="B67" s="7" t="s">
        <v>935</v>
      </c>
      <c r="C67" s="14" t="s">
        <v>1102</v>
      </c>
      <c r="D67" s="14" t="s">
        <v>1103</v>
      </c>
      <c r="E67" s="7">
        <v>2</v>
      </c>
      <c r="F67" s="7">
        <v>65</v>
      </c>
      <c r="G67" s="7">
        <f t="shared" ref="G67:G107" si="2">E67*F67</f>
        <v>130</v>
      </c>
      <c r="H67" s="7" t="s">
        <v>190</v>
      </c>
      <c r="I67" s="7" t="s">
        <v>1104</v>
      </c>
      <c r="J67" s="17" t="s">
        <v>176</v>
      </c>
      <c r="K67" s="7"/>
      <c r="L67" s="7"/>
      <c r="M67" s="7"/>
    </row>
    <row r="68" spans="1:13">
      <c r="A68" s="6">
        <v>46062</v>
      </c>
      <c r="B68" s="7" t="s">
        <v>935</v>
      </c>
      <c r="C68" s="14" t="s">
        <v>1105</v>
      </c>
      <c r="D68" s="14" t="s">
        <v>1106</v>
      </c>
      <c r="E68" s="7">
        <v>1</v>
      </c>
      <c r="F68" s="7">
        <v>65</v>
      </c>
      <c r="G68" s="7">
        <f t="shared" si="2"/>
        <v>65</v>
      </c>
      <c r="H68" s="7" t="s">
        <v>190</v>
      </c>
      <c r="I68" s="7" t="s">
        <v>1094</v>
      </c>
      <c r="J68" s="18"/>
      <c r="K68" s="7"/>
      <c r="L68" s="7"/>
      <c r="M68" s="7"/>
    </row>
    <row r="69" spans="1:13">
      <c r="A69" s="6">
        <v>46062</v>
      </c>
      <c r="B69" s="7" t="s">
        <v>935</v>
      </c>
      <c r="C69" s="14" t="s">
        <v>1105</v>
      </c>
      <c r="D69" s="14" t="s">
        <v>1107</v>
      </c>
      <c r="E69" s="7">
        <v>1</v>
      </c>
      <c r="F69" s="7">
        <v>65</v>
      </c>
      <c r="G69" s="7">
        <f t="shared" si="2"/>
        <v>65</v>
      </c>
      <c r="H69" s="7" t="s">
        <v>190</v>
      </c>
      <c r="I69" s="7" t="s">
        <v>1108</v>
      </c>
      <c r="J69" s="18"/>
      <c r="K69" s="7"/>
      <c r="L69" s="7"/>
      <c r="M69" s="7"/>
    </row>
    <row r="70" spans="1:13">
      <c r="A70" s="6">
        <v>46062</v>
      </c>
      <c r="B70" s="7" t="s">
        <v>935</v>
      </c>
      <c r="C70" s="14" t="s">
        <v>550</v>
      </c>
      <c r="D70" s="14" t="s">
        <v>1109</v>
      </c>
      <c r="E70" s="7">
        <v>4</v>
      </c>
      <c r="F70" s="7">
        <v>65</v>
      </c>
      <c r="G70" s="7">
        <f t="shared" si="2"/>
        <v>260</v>
      </c>
      <c r="H70" s="7" t="s">
        <v>190</v>
      </c>
      <c r="I70" s="7" t="s">
        <v>1110</v>
      </c>
      <c r="J70" s="18"/>
      <c r="K70" s="7"/>
      <c r="L70" s="7"/>
      <c r="M70" s="7"/>
    </row>
    <row r="71" spans="1:13">
      <c r="A71" s="6">
        <v>46062</v>
      </c>
      <c r="B71" s="7" t="s">
        <v>935</v>
      </c>
      <c r="C71" s="14" t="s">
        <v>718</v>
      </c>
      <c r="D71" s="14" t="s">
        <v>1111</v>
      </c>
      <c r="E71" s="7">
        <v>12</v>
      </c>
      <c r="F71" s="7">
        <v>65</v>
      </c>
      <c r="G71" s="7">
        <f t="shared" si="2"/>
        <v>780</v>
      </c>
      <c r="H71" s="7" t="s">
        <v>190</v>
      </c>
      <c r="I71" s="7" t="s">
        <v>1035</v>
      </c>
      <c r="J71" s="19"/>
      <c r="K71" s="7"/>
      <c r="L71" s="7"/>
      <c r="M71" s="7"/>
    </row>
    <row r="72" spans="1:13">
      <c r="A72" s="6">
        <v>46062</v>
      </c>
      <c r="B72" s="7" t="s">
        <v>935</v>
      </c>
      <c r="C72" s="7" t="s">
        <v>718</v>
      </c>
      <c r="D72" s="7" t="s">
        <v>1112</v>
      </c>
      <c r="E72" s="7">
        <v>1</v>
      </c>
      <c r="F72" s="7">
        <v>65</v>
      </c>
      <c r="G72" s="7">
        <f t="shared" si="2"/>
        <v>65</v>
      </c>
      <c r="H72" s="7" t="s">
        <v>190</v>
      </c>
      <c r="I72" s="7" t="s">
        <v>1113</v>
      </c>
      <c r="J72" s="7"/>
      <c r="K72" s="7"/>
      <c r="L72" s="7"/>
      <c r="M72" s="7"/>
    </row>
    <row r="73" spans="1:13">
      <c r="A73" s="6">
        <v>46062</v>
      </c>
      <c r="B73" s="7" t="s">
        <v>935</v>
      </c>
      <c r="C73" s="14" t="s">
        <v>718</v>
      </c>
      <c r="D73" s="14" t="s">
        <v>1114</v>
      </c>
      <c r="E73" s="7">
        <v>4</v>
      </c>
      <c r="F73" s="7">
        <v>65</v>
      </c>
      <c r="G73" s="7">
        <f t="shared" si="2"/>
        <v>260</v>
      </c>
      <c r="H73" s="7" t="s">
        <v>190</v>
      </c>
      <c r="I73" s="7" t="s">
        <v>1035</v>
      </c>
      <c r="J73" s="20" t="s">
        <v>176</v>
      </c>
      <c r="K73" s="7"/>
      <c r="L73" s="7"/>
      <c r="M73" s="7"/>
    </row>
    <row r="74" spans="1:13">
      <c r="A74" s="6">
        <v>46062</v>
      </c>
      <c r="B74" s="7" t="s">
        <v>935</v>
      </c>
      <c r="C74" s="7" t="s">
        <v>447</v>
      </c>
      <c r="D74" s="7" t="s">
        <v>1115</v>
      </c>
      <c r="E74" s="7">
        <v>4</v>
      </c>
      <c r="F74" s="7">
        <v>65</v>
      </c>
      <c r="G74" s="7">
        <f t="shared" si="2"/>
        <v>260</v>
      </c>
      <c r="H74" s="7" t="s">
        <v>190</v>
      </c>
      <c r="I74" s="7" t="s">
        <v>1035</v>
      </c>
      <c r="J74" s="7"/>
      <c r="K74" s="7"/>
      <c r="L74" s="7"/>
      <c r="M74" s="7"/>
    </row>
    <row r="75" spans="1:13">
      <c r="A75" s="6">
        <v>46062</v>
      </c>
      <c r="B75" s="7" t="s">
        <v>935</v>
      </c>
      <c r="C75" s="14" t="s">
        <v>1116</v>
      </c>
      <c r="D75" s="14" t="s">
        <v>1117</v>
      </c>
      <c r="E75" s="7">
        <v>4</v>
      </c>
      <c r="F75" s="7">
        <v>65</v>
      </c>
      <c r="G75" s="7">
        <f t="shared" si="2"/>
        <v>260</v>
      </c>
      <c r="H75" s="7" t="s">
        <v>190</v>
      </c>
      <c r="I75" s="7" t="s">
        <v>1035</v>
      </c>
      <c r="J75" s="21" t="s">
        <v>176</v>
      </c>
      <c r="K75" s="7"/>
      <c r="L75" s="7"/>
      <c r="M75" s="7"/>
    </row>
    <row r="76" spans="1:13">
      <c r="A76" s="6">
        <v>46062</v>
      </c>
      <c r="B76" s="7" t="s">
        <v>935</v>
      </c>
      <c r="C76" s="14" t="s">
        <v>1116</v>
      </c>
      <c r="D76" s="14" t="s">
        <v>1118</v>
      </c>
      <c r="E76" s="7">
        <v>2</v>
      </c>
      <c r="F76" s="7">
        <v>65</v>
      </c>
      <c r="G76" s="7">
        <f t="shared" si="2"/>
        <v>130</v>
      </c>
      <c r="H76" s="7" t="s">
        <v>190</v>
      </c>
      <c r="I76" s="7" t="s">
        <v>1035</v>
      </c>
      <c r="J76" s="22"/>
      <c r="K76" s="7"/>
      <c r="L76" s="7"/>
      <c r="M76" s="7"/>
    </row>
    <row r="77" spans="1:13">
      <c r="A77" s="6">
        <v>46062</v>
      </c>
      <c r="B77" s="7" t="s">
        <v>935</v>
      </c>
      <c r="C77" s="14" t="s">
        <v>1119</v>
      </c>
      <c r="D77" s="14" t="s">
        <v>1120</v>
      </c>
      <c r="E77" s="7">
        <v>1</v>
      </c>
      <c r="F77" s="7">
        <v>65</v>
      </c>
      <c r="G77" s="7">
        <f t="shared" si="2"/>
        <v>65</v>
      </c>
      <c r="H77" s="7" t="s">
        <v>190</v>
      </c>
      <c r="I77" s="7" t="s">
        <v>1035</v>
      </c>
      <c r="J77" s="22"/>
      <c r="K77" s="7"/>
      <c r="L77" s="7"/>
      <c r="M77" s="7"/>
    </row>
    <row r="78" spans="1:13">
      <c r="A78" s="6">
        <v>46062</v>
      </c>
      <c r="B78" s="7" t="s">
        <v>935</v>
      </c>
      <c r="C78" s="14" t="s">
        <v>1121</v>
      </c>
      <c r="D78" s="14" t="s">
        <v>1122</v>
      </c>
      <c r="E78" s="7">
        <v>4</v>
      </c>
      <c r="F78" s="7">
        <v>65</v>
      </c>
      <c r="G78" s="7">
        <f t="shared" si="2"/>
        <v>260</v>
      </c>
      <c r="H78" s="7" t="s">
        <v>190</v>
      </c>
      <c r="I78" s="7" t="s">
        <v>77</v>
      </c>
      <c r="J78" s="22"/>
      <c r="K78" s="7"/>
      <c r="L78" s="7"/>
      <c r="M78" s="7"/>
    </row>
    <row r="79" spans="1:13">
      <c r="A79" s="6">
        <v>46062</v>
      </c>
      <c r="B79" s="7" t="s">
        <v>935</v>
      </c>
      <c r="C79" s="14" t="s">
        <v>866</v>
      </c>
      <c r="D79" s="14" t="s">
        <v>867</v>
      </c>
      <c r="E79" s="7">
        <v>1</v>
      </c>
      <c r="F79" s="7">
        <v>65</v>
      </c>
      <c r="G79" s="7">
        <f t="shared" si="2"/>
        <v>65</v>
      </c>
      <c r="H79" s="7" t="s">
        <v>190</v>
      </c>
      <c r="I79" s="7" t="s">
        <v>868</v>
      </c>
      <c r="J79" s="22"/>
      <c r="K79" s="7"/>
      <c r="L79" s="7"/>
      <c r="M79" s="7"/>
    </row>
    <row r="80" spans="1:13">
      <c r="A80" s="6">
        <v>46062</v>
      </c>
      <c r="B80" s="7" t="s">
        <v>935</v>
      </c>
      <c r="C80" s="14" t="s">
        <v>1123</v>
      </c>
      <c r="D80" s="14" t="s">
        <v>1124</v>
      </c>
      <c r="E80" s="7">
        <v>1</v>
      </c>
      <c r="F80" s="7">
        <v>65</v>
      </c>
      <c r="G80" s="7">
        <f t="shared" si="2"/>
        <v>65</v>
      </c>
      <c r="H80" s="7" t="s">
        <v>190</v>
      </c>
      <c r="I80" s="7" t="s">
        <v>1125</v>
      </c>
      <c r="J80" s="23"/>
      <c r="K80" s="7"/>
      <c r="L80" s="7"/>
      <c r="M80" s="7"/>
    </row>
    <row r="81" spans="1:13">
      <c r="A81" s="6">
        <v>46062</v>
      </c>
      <c r="B81" s="7" t="s">
        <v>935</v>
      </c>
      <c r="C81" s="7" t="s">
        <v>554</v>
      </c>
      <c r="D81" s="7" t="s">
        <v>1126</v>
      </c>
      <c r="E81" s="7">
        <v>1</v>
      </c>
      <c r="F81" s="7">
        <v>65</v>
      </c>
      <c r="G81" s="7">
        <f t="shared" si="2"/>
        <v>65</v>
      </c>
      <c r="H81" s="7" t="s">
        <v>190</v>
      </c>
      <c r="I81" s="7" t="s">
        <v>481</v>
      </c>
      <c r="J81" s="7"/>
      <c r="K81" s="7"/>
      <c r="L81" s="7" t="s">
        <v>228</v>
      </c>
      <c r="M81" s="7"/>
    </row>
    <row r="82" spans="1:13">
      <c r="A82" s="6">
        <v>46062</v>
      </c>
      <c r="B82" s="7" t="s">
        <v>935</v>
      </c>
      <c r="C82" s="14" t="s">
        <v>554</v>
      </c>
      <c r="D82" s="14" t="s">
        <v>1127</v>
      </c>
      <c r="E82" s="7">
        <v>1</v>
      </c>
      <c r="F82" s="7">
        <v>65</v>
      </c>
      <c r="G82" s="7">
        <f t="shared" si="2"/>
        <v>65</v>
      </c>
      <c r="H82" s="7" t="s">
        <v>190</v>
      </c>
      <c r="I82" s="7" t="s">
        <v>1128</v>
      </c>
      <c r="J82" s="21" t="s">
        <v>176</v>
      </c>
      <c r="K82" s="7"/>
      <c r="L82" s="7"/>
      <c r="M82" s="7"/>
    </row>
    <row r="83" spans="1:13">
      <c r="A83" s="6">
        <v>46062</v>
      </c>
      <c r="B83" s="7" t="s">
        <v>935</v>
      </c>
      <c r="C83" s="14" t="s">
        <v>1129</v>
      </c>
      <c r="D83" s="14" t="s">
        <v>1130</v>
      </c>
      <c r="E83" s="7">
        <v>1</v>
      </c>
      <c r="F83" s="7">
        <v>65</v>
      </c>
      <c r="G83" s="7">
        <f t="shared" si="2"/>
        <v>65</v>
      </c>
      <c r="H83" s="7" t="s">
        <v>190</v>
      </c>
      <c r="I83" s="7" t="s">
        <v>1131</v>
      </c>
      <c r="J83" s="22"/>
      <c r="K83" s="7"/>
      <c r="L83" s="7"/>
      <c r="M83" s="7"/>
    </row>
    <row r="84" spans="1:13">
      <c r="A84" s="6">
        <v>46062</v>
      </c>
      <c r="B84" s="7" t="s">
        <v>935</v>
      </c>
      <c r="C84" s="14" t="s">
        <v>1132</v>
      </c>
      <c r="D84" s="14" t="s">
        <v>1133</v>
      </c>
      <c r="E84" s="7">
        <v>1</v>
      </c>
      <c r="F84" s="7">
        <v>65</v>
      </c>
      <c r="G84" s="7">
        <f t="shared" si="2"/>
        <v>65</v>
      </c>
      <c r="H84" s="7" t="s">
        <v>190</v>
      </c>
      <c r="I84" s="7" t="s">
        <v>1128</v>
      </c>
      <c r="J84" s="22"/>
      <c r="K84" s="7"/>
      <c r="L84" s="7"/>
      <c r="M84" s="7"/>
    </row>
    <row r="85" spans="1:13">
      <c r="A85" s="6">
        <v>46062</v>
      </c>
      <c r="B85" s="7" t="s">
        <v>935</v>
      </c>
      <c r="C85" s="14" t="s">
        <v>1134</v>
      </c>
      <c r="D85" s="14" t="s">
        <v>1135</v>
      </c>
      <c r="E85" s="7">
        <v>1</v>
      </c>
      <c r="F85" s="7">
        <v>65</v>
      </c>
      <c r="G85" s="7">
        <f t="shared" si="2"/>
        <v>65</v>
      </c>
      <c r="H85" s="7" t="s">
        <v>190</v>
      </c>
      <c r="I85" s="7" t="s">
        <v>1131</v>
      </c>
      <c r="J85" s="22"/>
      <c r="K85" s="7"/>
      <c r="L85" s="7"/>
      <c r="M85" s="7"/>
    </row>
    <row r="86" spans="1:13">
      <c r="A86" s="6">
        <v>46062</v>
      </c>
      <c r="B86" s="7" t="s">
        <v>935</v>
      </c>
      <c r="C86" s="14" t="s">
        <v>1136</v>
      </c>
      <c r="D86" s="14" t="s">
        <v>1137</v>
      </c>
      <c r="E86" s="7">
        <v>1</v>
      </c>
      <c r="F86" s="7">
        <v>65</v>
      </c>
      <c r="G86" s="7">
        <f t="shared" si="2"/>
        <v>65</v>
      </c>
      <c r="H86" s="7" t="s">
        <v>190</v>
      </c>
      <c r="I86" s="7" t="s">
        <v>1138</v>
      </c>
      <c r="J86" s="22"/>
      <c r="K86" s="7"/>
      <c r="L86" s="7"/>
      <c r="M86" s="7"/>
    </row>
    <row r="87" spans="1:13">
      <c r="A87" s="6">
        <v>46062</v>
      </c>
      <c r="B87" s="7" t="s">
        <v>935</v>
      </c>
      <c r="C87" s="14" t="s">
        <v>1139</v>
      </c>
      <c r="D87" s="14" t="s">
        <v>1140</v>
      </c>
      <c r="E87" s="7">
        <v>1</v>
      </c>
      <c r="F87" s="7">
        <v>65</v>
      </c>
      <c r="G87" s="7">
        <f t="shared" si="2"/>
        <v>65</v>
      </c>
      <c r="H87" s="7" t="s">
        <v>190</v>
      </c>
      <c r="I87" s="7" t="s">
        <v>757</v>
      </c>
      <c r="J87" s="22"/>
      <c r="K87" s="7"/>
      <c r="L87" s="7"/>
      <c r="M87" s="7"/>
    </row>
    <row r="88" spans="1:13">
      <c r="A88" s="6">
        <v>46062</v>
      </c>
      <c r="B88" s="7" t="s">
        <v>935</v>
      </c>
      <c r="C88" s="14" t="s">
        <v>1141</v>
      </c>
      <c r="D88" s="14" t="s">
        <v>1142</v>
      </c>
      <c r="E88" s="7">
        <v>1</v>
      </c>
      <c r="F88" s="7">
        <v>65</v>
      </c>
      <c r="G88" s="7">
        <f t="shared" si="2"/>
        <v>65</v>
      </c>
      <c r="H88" s="7" t="s">
        <v>190</v>
      </c>
      <c r="I88" s="7" t="s">
        <v>1131</v>
      </c>
      <c r="J88" s="22"/>
      <c r="K88" s="7"/>
      <c r="L88" s="7"/>
      <c r="M88" s="7"/>
    </row>
    <row r="89" spans="1:13">
      <c r="A89" s="6">
        <v>46062</v>
      </c>
      <c r="B89" s="7" t="s">
        <v>935</v>
      </c>
      <c r="C89" s="14" t="s">
        <v>1143</v>
      </c>
      <c r="D89" s="14" t="s">
        <v>1144</v>
      </c>
      <c r="E89" s="7">
        <v>1</v>
      </c>
      <c r="F89" s="7">
        <v>65</v>
      </c>
      <c r="G89" s="7">
        <f t="shared" si="2"/>
        <v>65</v>
      </c>
      <c r="H89" s="7" t="s">
        <v>190</v>
      </c>
      <c r="I89" s="7" t="s">
        <v>1145</v>
      </c>
      <c r="J89" s="22"/>
      <c r="K89" s="7"/>
      <c r="L89" s="7"/>
      <c r="M89" s="7"/>
    </row>
    <row r="90" spans="1:13">
      <c r="A90" s="6">
        <v>46062</v>
      </c>
      <c r="B90" s="7" t="s">
        <v>935</v>
      </c>
      <c r="C90" s="14" t="s">
        <v>1146</v>
      </c>
      <c r="D90" s="14" t="s">
        <v>1147</v>
      </c>
      <c r="E90" s="7">
        <v>1</v>
      </c>
      <c r="F90" s="7">
        <v>65</v>
      </c>
      <c r="G90" s="7">
        <f t="shared" si="2"/>
        <v>65</v>
      </c>
      <c r="H90" s="7" t="s">
        <v>190</v>
      </c>
      <c r="I90" s="7" t="s">
        <v>775</v>
      </c>
      <c r="J90" s="22"/>
      <c r="K90" s="7"/>
      <c r="L90" s="7"/>
      <c r="M90" s="7"/>
    </row>
    <row r="91" spans="1:13">
      <c r="A91" s="6">
        <v>46062</v>
      </c>
      <c r="B91" s="7" t="s">
        <v>935</v>
      </c>
      <c r="C91" s="14" t="s">
        <v>1146</v>
      </c>
      <c r="D91" s="14" t="s">
        <v>1148</v>
      </c>
      <c r="E91" s="7">
        <v>1</v>
      </c>
      <c r="F91" s="7">
        <v>65</v>
      </c>
      <c r="G91" s="7">
        <f t="shared" si="2"/>
        <v>65</v>
      </c>
      <c r="H91" s="7" t="s">
        <v>190</v>
      </c>
      <c r="I91" s="7" t="s">
        <v>457</v>
      </c>
      <c r="J91" s="22"/>
      <c r="K91" s="7"/>
      <c r="L91" s="7"/>
      <c r="M91" s="7"/>
    </row>
    <row r="92" spans="1:13">
      <c r="A92" s="6">
        <v>46062</v>
      </c>
      <c r="B92" s="7" t="s">
        <v>935</v>
      </c>
      <c r="C92" s="14" t="s">
        <v>1146</v>
      </c>
      <c r="D92" s="14" t="s">
        <v>1149</v>
      </c>
      <c r="E92" s="7">
        <v>1</v>
      </c>
      <c r="F92" s="7">
        <v>65</v>
      </c>
      <c r="G92" s="7">
        <f t="shared" si="2"/>
        <v>65</v>
      </c>
      <c r="H92" s="7" t="s">
        <v>190</v>
      </c>
      <c r="I92" s="7" t="s">
        <v>1150</v>
      </c>
      <c r="J92" s="22"/>
      <c r="K92" s="7"/>
      <c r="L92" s="7"/>
      <c r="M92" s="7"/>
    </row>
    <row r="93" spans="1:13">
      <c r="A93" s="6">
        <v>46062</v>
      </c>
      <c r="B93" s="7" t="s">
        <v>935</v>
      </c>
      <c r="C93" s="14" t="s">
        <v>1151</v>
      </c>
      <c r="D93" s="14" t="s">
        <v>1152</v>
      </c>
      <c r="E93" s="7">
        <v>1</v>
      </c>
      <c r="F93" s="7">
        <v>65</v>
      </c>
      <c r="G93" s="7">
        <f t="shared" si="2"/>
        <v>65</v>
      </c>
      <c r="H93" s="7" t="s">
        <v>190</v>
      </c>
      <c r="I93" s="7" t="s">
        <v>1153</v>
      </c>
      <c r="J93" s="22"/>
      <c r="K93" s="7"/>
      <c r="L93" s="7"/>
      <c r="M93" s="7"/>
    </row>
    <row r="94" spans="1:13">
      <c r="A94" s="6">
        <v>46062</v>
      </c>
      <c r="B94" s="7" t="s">
        <v>935</v>
      </c>
      <c r="C94" s="14" t="s">
        <v>1154</v>
      </c>
      <c r="D94" s="14" t="s">
        <v>1155</v>
      </c>
      <c r="E94" s="7">
        <v>1</v>
      </c>
      <c r="F94" s="7">
        <v>65</v>
      </c>
      <c r="G94" s="7">
        <f t="shared" si="2"/>
        <v>65</v>
      </c>
      <c r="H94" s="7" t="s">
        <v>190</v>
      </c>
      <c r="I94" s="7" t="s">
        <v>781</v>
      </c>
      <c r="J94" s="22"/>
      <c r="K94" s="7"/>
      <c r="L94" s="7"/>
      <c r="M94" s="7"/>
    </row>
    <row r="95" spans="1:13">
      <c r="A95" s="6">
        <v>46062</v>
      </c>
      <c r="B95" s="7" t="s">
        <v>935</v>
      </c>
      <c r="C95" s="14" t="s">
        <v>1154</v>
      </c>
      <c r="D95" s="14" t="s">
        <v>1156</v>
      </c>
      <c r="E95" s="7">
        <v>1</v>
      </c>
      <c r="F95" s="7">
        <v>65</v>
      </c>
      <c r="G95" s="7">
        <f t="shared" si="2"/>
        <v>65</v>
      </c>
      <c r="H95" s="7" t="s">
        <v>190</v>
      </c>
      <c r="I95" s="7" t="s">
        <v>781</v>
      </c>
      <c r="J95" s="22"/>
      <c r="K95" s="7"/>
      <c r="L95" s="7"/>
      <c r="M95" s="7"/>
    </row>
    <row r="96" spans="1:13">
      <c r="A96" s="6">
        <v>46062</v>
      </c>
      <c r="B96" s="7" t="s">
        <v>935</v>
      </c>
      <c r="C96" s="14" t="s">
        <v>1154</v>
      </c>
      <c r="D96" s="14" t="s">
        <v>1157</v>
      </c>
      <c r="E96" s="7">
        <v>1</v>
      </c>
      <c r="F96" s="7">
        <v>65</v>
      </c>
      <c r="G96" s="7">
        <f t="shared" si="2"/>
        <v>65</v>
      </c>
      <c r="H96" s="7" t="s">
        <v>190</v>
      </c>
      <c r="I96" s="7" t="s">
        <v>781</v>
      </c>
      <c r="J96" s="22"/>
      <c r="K96" s="7"/>
      <c r="L96" s="7"/>
      <c r="M96" s="7"/>
    </row>
    <row r="97" spans="1:13">
      <c r="A97" s="6">
        <v>46062</v>
      </c>
      <c r="B97" s="7" t="s">
        <v>935</v>
      </c>
      <c r="C97" s="14" t="s">
        <v>1158</v>
      </c>
      <c r="D97" s="14" t="s">
        <v>1159</v>
      </c>
      <c r="E97" s="7">
        <v>1</v>
      </c>
      <c r="F97" s="7">
        <v>65</v>
      </c>
      <c r="G97" s="7">
        <f t="shared" si="2"/>
        <v>65</v>
      </c>
      <c r="H97" s="7" t="s">
        <v>190</v>
      </c>
      <c r="I97" s="7" t="s">
        <v>1160</v>
      </c>
      <c r="J97" s="22"/>
      <c r="K97" s="7"/>
      <c r="L97" s="7"/>
      <c r="M97" s="7"/>
    </row>
    <row r="98" spans="1:13">
      <c r="A98" s="6">
        <v>46062</v>
      </c>
      <c r="B98" s="7" t="s">
        <v>935</v>
      </c>
      <c r="C98" s="14" t="s">
        <v>1158</v>
      </c>
      <c r="D98" s="14" t="s">
        <v>1161</v>
      </c>
      <c r="E98" s="7">
        <v>1</v>
      </c>
      <c r="F98" s="7">
        <v>65</v>
      </c>
      <c r="G98" s="7">
        <f t="shared" si="2"/>
        <v>65</v>
      </c>
      <c r="H98" s="7" t="s">
        <v>190</v>
      </c>
      <c r="I98" s="7" t="s">
        <v>77</v>
      </c>
      <c r="J98" s="22"/>
      <c r="K98" s="7"/>
      <c r="L98" s="7"/>
      <c r="M98" s="7"/>
    </row>
    <row r="99" spans="1:13">
      <c r="A99" s="6">
        <v>46062</v>
      </c>
      <c r="B99" s="7" t="s">
        <v>935</v>
      </c>
      <c r="C99" s="14" t="s">
        <v>1162</v>
      </c>
      <c r="D99" s="14" t="s">
        <v>1163</v>
      </c>
      <c r="E99" s="7">
        <v>1</v>
      </c>
      <c r="F99" s="7">
        <v>65</v>
      </c>
      <c r="G99" s="7">
        <f t="shared" si="2"/>
        <v>65</v>
      </c>
      <c r="H99" s="7" t="s">
        <v>190</v>
      </c>
      <c r="I99" s="7" t="s">
        <v>1164</v>
      </c>
      <c r="J99" s="22"/>
      <c r="K99" s="7"/>
      <c r="L99" s="7"/>
      <c r="M99" s="7"/>
    </row>
    <row r="100" spans="1:13">
      <c r="A100" s="6">
        <v>46062</v>
      </c>
      <c r="B100" s="7" t="s">
        <v>935</v>
      </c>
      <c r="C100" s="14" t="s">
        <v>1162</v>
      </c>
      <c r="D100" s="14" t="s">
        <v>1165</v>
      </c>
      <c r="E100" s="7">
        <v>1</v>
      </c>
      <c r="F100" s="7">
        <v>65</v>
      </c>
      <c r="G100" s="7">
        <f t="shared" si="2"/>
        <v>65</v>
      </c>
      <c r="H100" s="7" t="s">
        <v>190</v>
      </c>
      <c r="I100" s="7" t="s">
        <v>1164</v>
      </c>
      <c r="J100" s="22"/>
      <c r="K100" s="7"/>
      <c r="L100" s="7"/>
      <c r="M100" s="7"/>
    </row>
    <row r="101" spans="1:13">
      <c r="A101" s="6">
        <v>46062</v>
      </c>
      <c r="B101" s="7" t="s">
        <v>935</v>
      </c>
      <c r="C101" s="14" t="s">
        <v>1166</v>
      </c>
      <c r="D101" s="14" t="s">
        <v>1167</v>
      </c>
      <c r="E101" s="7">
        <v>1</v>
      </c>
      <c r="F101" s="7">
        <v>65</v>
      </c>
      <c r="G101" s="7">
        <f t="shared" si="2"/>
        <v>65</v>
      </c>
      <c r="H101" s="7" t="s">
        <v>190</v>
      </c>
      <c r="I101" s="7" t="s">
        <v>813</v>
      </c>
      <c r="J101" s="22"/>
      <c r="K101" s="7"/>
      <c r="L101" s="7"/>
      <c r="M101" s="7"/>
    </row>
    <row r="102" spans="1:13">
      <c r="A102" s="6">
        <v>46062</v>
      </c>
      <c r="B102" s="7" t="s">
        <v>935</v>
      </c>
      <c r="C102" s="14" t="s">
        <v>861</v>
      </c>
      <c r="D102" s="14" t="s">
        <v>1168</v>
      </c>
      <c r="E102" s="7">
        <v>1</v>
      </c>
      <c r="F102" s="7">
        <v>65</v>
      </c>
      <c r="G102" s="7">
        <f t="shared" si="2"/>
        <v>65</v>
      </c>
      <c r="H102" s="7" t="s">
        <v>190</v>
      </c>
      <c r="I102" s="7" t="s">
        <v>1169</v>
      </c>
      <c r="J102" s="22"/>
      <c r="K102" s="7"/>
      <c r="L102" s="7"/>
      <c r="M102" s="7"/>
    </row>
    <row r="103" spans="1:13">
      <c r="A103" s="6">
        <v>46062</v>
      </c>
      <c r="B103" s="7" t="s">
        <v>935</v>
      </c>
      <c r="C103" s="14" t="s">
        <v>1170</v>
      </c>
      <c r="D103" s="14" t="s">
        <v>1170</v>
      </c>
      <c r="E103" s="7">
        <v>1</v>
      </c>
      <c r="F103" s="7">
        <v>65</v>
      </c>
      <c r="G103" s="7">
        <f t="shared" si="2"/>
        <v>65</v>
      </c>
      <c r="H103" s="7" t="s">
        <v>190</v>
      </c>
      <c r="I103" s="7" t="s">
        <v>296</v>
      </c>
      <c r="J103" s="22"/>
      <c r="K103" s="7"/>
      <c r="L103" s="7"/>
      <c r="M103" s="7"/>
    </row>
    <row r="104" spans="1:13">
      <c r="A104" s="6">
        <v>46062</v>
      </c>
      <c r="B104" s="7" t="s">
        <v>935</v>
      </c>
      <c r="C104" s="14" t="s">
        <v>222</v>
      </c>
      <c r="D104" s="14" t="s">
        <v>1171</v>
      </c>
      <c r="E104" s="7">
        <v>2</v>
      </c>
      <c r="F104" s="7">
        <v>65</v>
      </c>
      <c r="G104" s="7">
        <f t="shared" si="2"/>
        <v>130</v>
      </c>
      <c r="H104" s="7" t="s">
        <v>190</v>
      </c>
      <c r="I104" s="7" t="s">
        <v>1172</v>
      </c>
      <c r="J104" s="22"/>
      <c r="K104" s="7"/>
      <c r="L104" s="7"/>
      <c r="M104" s="7"/>
    </row>
    <row r="105" spans="1:13">
      <c r="A105" s="6">
        <v>46062</v>
      </c>
      <c r="B105" s="7" t="s">
        <v>935</v>
      </c>
      <c r="C105" s="14" t="s">
        <v>222</v>
      </c>
      <c r="D105" s="14" t="s">
        <v>1173</v>
      </c>
      <c r="E105" s="7">
        <v>2</v>
      </c>
      <c r="F105" s="7">
        <v>65</v>
      </c>
      <c r="G105" s="7">
        <f t="shared" si="2"/>
        <v>130</v>
      </c>
      <c r="H105" s="7" t="s">
        <v>190</v>
      </c>
      <c r="I105" s="7" t="s">
        <v>1172</v>
      </c>
      <c r="J105" s="22"/>
      <c r="K105" s="7"/>
      <c r="L105" s="7"/>
      <c r="M105" s="7"/>
    </row>
    <row r="106" spans="1:13">
      <c r="A106" s="6">
        <v>46062</v>
      </c>
      <c r="B106" s="7" t="s">
        <v>935</v>
      </c>
      <c r="C106" s="14" t="s">
        <v>1174</v>
      </c>
      <c r="D106" s="14" t="s">
        <v>1175</v>
      </c>
      <c r="E106" s="7">
        <v>4</v>
      </c>
      <c r="F106" s="7">
        <v>65</v>
      </c>
      <c r="G106" s="7">
        <f t="shared" si="2"/>
        <v>260</v>
      </c>
      <c r="H106" s="7" t="s">
        <v>190</v>
      </c>
      <c r="I106" s="7" t="s">
        <v>1172</v>
      </c>
      <c r="J106" s="22"/>
      <c r="K106" s="7"/>
      <c r="L106" s="7"/>
      <c r="M106" s="7"/>
    </row>
    <row r="107" spans="1:13">
      <c r="A107" s="6">
        <v>46062</v>
      </c>
      <c r="B107" s="7" t="s">
        <v>935</v>
      </c>
      <c r="C107" s="14" t="s">
        <v>1176</v>
      </c>
      <c r="D107" s="14" t="s">
        <v>1177</v>
      </c>
      <c r="E107" s="7">
        <v>65</v>
      </c>
      <c r="F107" s="7">
        <v>1</v>
      </c>
      <c r="G107" s="7">
        <f t="shared" si="2"/>
        <v>65</v>
      </c>
      <c r="H107" s="7" t="s">
        <v>190</v>
      </c>
      <c r="I107" s="7" t="s">
        <v>1178</v>
      </c>
      <c r="J107" s="23"/>
      <c r="K107" s="7"/>
      <c r="L107" s="7"/>
      <c r="M107" s="7"/>
    </row>
  </sheetData>
  <mergeCells count="21">
    <mergeCell ref="J2:J29"/>
    <mergeCell ref="J34:J40"/>
    <mergeCell ref="J44:J53"/>
    <mergeCell ref="J55:J57"/>
    <mergeCell ref="J67:J71"/>
    <mergeCell ref="J75:J80"/>
    <mergeCell ref="J82:J107"/>
    <mergeCell ref="K2:K29"/>
    <mergeCell ref="K34:K40"/>
    <mergeCell ref="K44:K53"/>
    <mergeCell ref="K55:K57"/>
    <mergeCell ref="L2:L29"/>
    <mergeCell ref="L34:L40"/>
    <mergeCell ref="L44:L53"/>
    <mergeCell ref="L55:L57"/>
    <mergeCell ref="L60:L61"/>
    <mergeCell ref="L65:L66"/>
    <mergeCell ref="M2:M29"/>
    <mergeCell ref="M34:M40"/>
    <mergeCell ref="M44:M53"/>
    <mergeCell ref="M55:M57"/>
  </mergeCells>
  <dataValidations count="1">
    <dataValidation type="list" allowBlank="1" showInputMessage="1" showErrorMessage="1" sqref="J2:J107">
      <formula1>"已到货,未到货"</formula1>
    </dataValidation>
  </dataValidation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BOM 总表</vt:lpstr>
      <vt:lpstr>测试-程新开</vt:lpstr>
      <vt:lpstr>测试-孙孝友</vt:lpstr>
      <vt:lpstr>测试-潘显斌</vt:lpstr>
      <vt:lpstr>测试-王丽芬</vt:lpstr>
      <vt:lpstr>电气-陈磊</vt:lpstr>
      <vt:lpstr>电气-崇洪斌</vt:lpstr>
      <vt:lpstr>负载箱-王鑫</vt:lpstr>
      <vt:lpstr>LVDS-李凯林</vt:lpstr>
      <vt:lpstr>研发-刘孟龙</vt:lpstr>
      <vt:lpstr>结构-谷荣</vt:lpstr>
      <vt:lpstr>结构-张云进</vt:lpstr>
      <vt:lpstr>A2B-王雪冬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123456</dc:creator>
  <cp:lastModifiedBy>Tina H✨</cp:lastModifiedBy>
  <dcterms:created xsi:type="dcterms:W3CDTF">2015-06-05T18:19:00Z</dcterms:created>
  <dcterms:modified xsi:type="dcterms:W3CDTF">2026-04-13T06:44:16Z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4CEBBF3E8C794F4692ED056742C8EC4F_13</vt:lpwstr>
  </property>
  <property fmtid="{D5CDD505-2E9C-101B-9397-08002B2CF9AE}" pid="3" name="KSOProductBuildVer">
    <vt:lpwstr>2052-12.1.0.25225</vt:lpwstr>
  </property>
  <property fmtid="{D5CDD505-2E9C-101B-9397-08002B2CF9AE}" pid="4" name="commondata">
    <vt:lpwstr>eyJoZGlkIjoiMWE5OGE1MWUwYzViN2JkNGNjNzc0OTk1ZDU4OTI0ODAifQ==</vt:lpwstr>
  </property>
  <property fmtid="{D5CDD505-2E9C-101B-9397-08002B2CF9AE}" pid="5" name="CalculationRule">
    <vt:i4>0</vt:i4>
  </property>
</Properties>
</file>